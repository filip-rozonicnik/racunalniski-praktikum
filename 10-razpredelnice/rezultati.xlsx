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-razpredelnice\"/>
    </mc:Choice>
  </mc:AlternateContent>
  <xr:revisionPtr revIDLastSave="0" documentId="13_ncr:1_{87B86094-7BC4-4DEE-85B1-1AC375558847}" xr6:coauthVersionLast="36" xr6:coauthVersionMax="47" xr10:uidLastSave="{00000000-0000-0000-0000-000000000000}"/>
  <bookViews>
    <workbookView xWindow="0" yWindow="0" windowWidth="9732" windowHeight="5640" activeTab="2" xr2:uid="{00000000-000D-0000-FFFF-FFFF00000000}"/>
  </bookViews>
  <sheets>
    <sheet name="List1" sheetId="2" r:id="rId1"/>
    <sheet name="List2" sheetId="3" r:id="rId2"/>
    <sheet name="Rezultati" sheetId="1" r:id="rId3"/>
  </sheets>
  <definedNames>
    <definedName name="_xlcn.WorksheetConnection_rezultati.xlsxRezultati1" hidden="1">Rezultati[]</definedName>
    <definedName name="_xlcn.WorksheetConnection_rezultati.xlsxSkupine1" hidden="1">Skupine[]</definedName>
  </definedNames>
  <calcPr calcId="191029"/>
  <pivotCaches>
    <pivotCache cacheId="6" r:id="rId4"/>
    <pivotCache cacheId="84" r:id="rId5"/>
  </pivotCaches>
  <extLst>
    <ext xmlns:x15="http://schemas.microsoft.com/office/spreadsheetml/2010/11/main" uri="{FCE2AD5D-F65C-4FA6-A056-5C36A1767C68}">
      <x15:dataModel>
        <x15:modelTables>
          <x15:modelTable id="Skupine" name="Skupine" connection="WorksheetConnection_rezultati.xlsx!Skupine"/>
          <x15:modelTable id="Rezultati" name="Rezultati" connection="WorksheetConnection_rezultati.xlsx!Rezultati"/>
        </x15:modelTables>
        <x15:modelRelationships>
          <x15:modelRelationship fromTable="Rezultati" fromColumn="Skupina" toTable="Skupine" toColumn="Test"/>
        </x15:modelRelationships>
      </x15:dataModel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  <c r="J5" i="1"/>
  <c r="I3" i="1"/>
  <c r="J3" i="1"/>
  <c r="J4" i="1"/>
  <c r="I5" i="1"/>
  <c r="I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1E7C4-74F8-44E8-92B4-89A5865D189F}" keepAlive="1" name="ThisWorkbookDataModel" description="Podatkovni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EFBD883-47D8-4C7C-A492-97740E49BEB7}" name="WorksheetConnection_rezultati.xlsx!Rezultati" type="102" refreshedVersion="6" minRefreshableVersion="5">
    <extLst>
      <ext xmlns:x15="http://schemas.microsoft.com/office/spreadsheetml/2010/11/main" uri="{DE250136-89BD-433C-8126-D09CA5730AF9}">
        <x15:connection id="Rezultati">
          <x15:rangePr sourceName="_xlcn.WorksheetConnection_rezultati.xlsxRezultati1"/>
        </x15:connection>
      </ext>
    </extLst>
  </connection>
  <connection id="3" xr16:uid="{0442CA22-4A5D-4235-A5C7-5E95C63DE164}" name="WorksheetConnection_rezultati.xlsx!Skupine" type="102" refreshedVersion="6" minRefreshableVersion="5">
    <extLst>
      <ext xmlns:x15="http://schemas.microsoft.com/office/spreadsheetml/2010/11/main" uri="{DE250136-89BD-433C-8126-D09CA5730AF9}">
        <x15:connection id="Skupine" autoDelete="1">
          <x15:rangePr sourceName="_xlcn.WorksheetConnection_rezultati.xlsxSkupine1"/>
        </x15:connection>
      </ext>
    </extLst>
  </connection>
</connections>
</file>

<file path=xl/sharedStrings.xml><?xml version="1.0" encoding="utf-8"?>
<sst xmlns="http://schemas.openxmlformats.org/spreadsheetml/2006/main" count="112" uniqueCount="75">
  <si>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</si>
  <si>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</si>
  <si>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</si>
  <si>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</si>
  <si>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</si>
  <si>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</si>
  <si>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</si>
  <si>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</si>
  <si>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</si>
  <si>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</si>
  <si>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</si>
  <si>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</si>
  <si>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</si>
  <si>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</si>
  <si>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</si>
  <si>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</si>
  <si>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</si>
  <si>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</si>
  <si>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</si>
  <si>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</si>
  <si>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</si>
  <si>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</si>
  <si>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</si>
  <si>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</si>
  <si>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</si>
  <si>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</si>
  <si>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</si>
  <si>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</si>
  <si>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</si>
  <si>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</si>
  <si>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</si>
  <si>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</si>
  <si>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</si>
  <si>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</si>
  <si>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</si>
  <si>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</si>
  <si>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</si>
  <si>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</si>
  <si>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</si>
  <si>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</si>
  <si>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</si>
  <si>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</si>
  <si>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</si>
  <si>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</si>
  <si>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</si>
  <si>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</si>
  <si>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</si>
  <si>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</si>
  <si>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</si>
  <si>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</si>
  <si>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</si>
  <si>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</si>
  <si>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</si>
  <si>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</si>
  <si>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</si>
  <si>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</si>
  <si>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</si>
  <si>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</si>
  <si>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</si>
  <si>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</si>
  <si>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</si>
  <si>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</si>
  <si>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</si>
  <si>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</si>
  <si>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</si>
  <si>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</si>
  <si>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Oznake vrstic</t>
  </si>
  <si>
    <t>Skupna vsota</t>
  </si>
  <si>
    <t>Vsota od Udeležba</t>
  </si>
  <si>
    <t>Vsota od 2022</t>
  </si>
  <si>
    <t>SKUPINA</t>
  </si>
  <si>
    <t>Vsota Udeležba</t>
  </si>
  <si>
    <t>Vsota 2022</t>
  </si>
  <si>
    <t>Najmanj Točke</t>
  </si>
  <si>
    <t>Največ Točke2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</si>
</sst>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pivotButton="1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2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u val="none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/>
        <color rgb="FFC00000"/>
      </font>
    </dxf>
    <dxf>
      <font>
        <b/>
        <i val="0"/>
        <color rgb="FFFF0000"/>
      </font>
    </dxf>
    <dxf>
      <font>
        <u val="none"/>
        <color rgb="FFFF0000"/>
      </font>
      <numFmt numFmtId="166" formatCode="#,##0.00\ &quot;€&quot;"/>
    </dxf>
    <dxf>
      <font>
        <b/>
        <i val="0"/>
        <color rgb="FFFF0000"/>
      </font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relativna</a:t>
            </a:r>
            <a:r>
              <a:rPr lang="sl-SI" baseline="0"/>
              <a:t> velikost skupin</a:t>
            </a:r>
            <a:endParaRPr lang="en-US"/>
          </a:p>
        </c:rich>
      </c:tx>
      <c:layout>
        <c:manualLayout>
          <c:xMode val="edge"/>
          <c:yMode val="edge"/>
          <c:x val="0.21998622047244096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Rezultati!$H$3:$H$5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Rezultati!$I$3:$I$5</c:f>
              <c:numCache>
                <c:formatCode>0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7-402B-813F-017EF497BCA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>
        <c:manualLayout>
          <c:layoutTarget val="inner"/>
          <c:xMode val="edge"/>
          <c:yMode val="edge"/>
          <c:x val="8.9817147856517954E-2"/>
          <c:y val="0.14798665791776028"/>
          <c:w val="0.8712939632545931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Rezultati!$J$3:$J$5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6-468B-99AE-635ECE2E20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Rezultati!$K$3:$K$5</c:f>
              <c:numCache>
                <c:formatCode>0.00</c:formatCode>
                <c:ptCount val="3"/>
                <c:pt idx="0">
                  <c:v>66.84</c:v>
                </c:pt>
                <c:pt idx="1">
                  <c:v>52.35</c:v>
                </c:pt>
                <c:pt idx="2" formatCode="General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6-468B-99AE-635ECE2E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924879"/>
        <c:axId val="331633983"/>
      </c:barChart>
      <c:catAx>
        <c:axId val="91192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331633983"/>
        <c:crosses val="autoZero"/>
        <c:auto val="1"/>
        <c:lblAlgn val="ctr"/>
        <c:lblOffset val="100"/>
        <c:noMultiLvlLbl val="0"/>
      </c:catAx>
      <c:valAx>
        <c:axId val="33163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911924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563880</xdr:colOff>
      <xdr:row>12</xdr:row>
      <xdr:rowOff>137160</xdr:rowOff>
    </xdr:from>
    <xdr:to>
      <xdr:col>12</xdr:col>
      <xdr:colOff>0</xdr:colOff>
      <xdr:row>27</xdr:row>
      <xdr:rowOff>137160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292F46B0-D692-495E-B31A-5EBC1036E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594360</xdr:colOff>
      <xdr:row>28</xdr:row>
      <xdr:rowOff>99060</xdr:rowOff>
    </xdr:from>
    <xdr:to>
      <xdr:col>12</xdr:col>
      <xdr:colOff>30480</xdr:colOff>
      <xdr:row>43</xdr:row>
      <xdr:rowOff>99060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D2C028B0-4AF6-450D-A9A1-5B22293EF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porabnik sistema Windows" refreshedDate="46010.789187962961" createdVersion="6" refreshedVersion="6" minRefreshableVersion="3" recordCount="3" xr:uid="{D9CAD178-5D28-43C5-8998-63EB3C69AA69}">
  <cacheSource type="worksheet">
    <worksheetSource name="Skupine"/>
  </cacheSource>
  <cacheFields count="4">
    <cacheField name="Test" numFmtId="0">
      <sharedItems count="3">
        <s v="A"/>
        <s v="B"/>
        <s v="C"/>
      </sharedItems>
    </cacheField>
    <cacheField name="Udeležba" numFmtId="0">
      <sharedItems containsSemiMixedTypes="0" containsString="0" containsNumber="1" containsInteger="1" minValue="7" maxValue="12"/>
    </cacheField>
    <cacheField name="2022" numFmtId="0">
      <sharedItems containsSemiMixedTypes="0" containsString="0" containsNumber="1" minValue="47.714285714285715" maxValue="66.5" count="3">
        <n v="58.222222222222221"/>
        <n v="66.5"/>
        <n v="47.714285714285715"/>
      </sharedItems>
    </cacheField>
    <cacheField name="2021" numFmtId="0">
      <sharedItems containsSemiMixedTypes="0" containsString="0" containsNumber="1" minValue="49.66" maxValue="66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porabnik sistema Windows" refreshedDate="46011.49528171296" backgroundQuery="1" createdVersion="6" refreshedVersion="6" minRefreshableVersion="3" recordCount="0" supportSubquery="1" supportAdvancedDrill="1" xr:uid="{3F4ECC4F-33C1-4AFA-82B9-126B70FF54C8}">
  <cacheSource type="external" connectionId="1"/>
  <cacheFields count="5">
    <cacheField name="[Skupine].[Test].[Test]" caption="Test" numFmtId="0" hierarchy="5" level="1">
      <sharedItems count="3">
        <s v="A"/>
        <s v="B"/>
        <s v="C"/>
      </sharedItems>
    </cacheField>
    <cacheField name="[Measures].[Vsota Udeležba]" caption="Vsota Udeležba" numFmtId="0" hierarchy="12" level="32767"/>
    <cacheField name="[Measures].[Vsota 2022]" caption="Vsota 2022" numFmtId="0" hierarchy="13" level="32767"/>
    <cacheField name="[Measures].[Najmanj Točke]" caption="Najmanj Točke" numFmtId="0" hierarchy="15" level="32767"/>
    <cacheField name="[Measures].[Največ Točke]" caption="Največ Točke" numFmtId="0" hierarchy="16" level="32767"/>
  </cacheFields>
  <cacheHierarchies count="17">
    <cacheHierarchy uniqueName="[Rezultati].[Priimek]" caption="Priimek" attribute="1" defaultMemberUniqueName="[Rezultati].[Priimek].[All]" allUniqueName="[Rezultati].[Priimek].[All]" dimensionUniqueName="[Rezultati]" displayFolder="" count="0" memberValueDatatype="130" unbalanced="0"/>
    <cacheHierarchy uniqueName="[Rezultati].[Ime]" caption="Ime" attribute="1" defaultMemberUniqueName="[Rezultati].[Ime].[All]" allUniqueName="[Rezultati].[Ime].[All]" dimensionUniqueName="[Rezultati]" displayFolder="" count="0" memberValueDatatype="130" unbalanced="0"/>
    <cacheHierarchy uniqueName="[Rezultati].[Skupina]" caption="Skupina" attribute="1" defaultMemberUniqueName="[Rezultati].[Skupina].[All]" allUniqueName="[Rezultati].[Skupina].[All]" dimensionUniqueName="[Rezultati]" displayFolder="" count="0" memberValueDatatype="130" unbalanced="0"/>
    <cacheHierarchy uniqueName="[Rezultati].[Točke]" caption="Točke" attribute="1" defaultMemberUniqueName="[Rezultati].[Točke].[All]" allUniqueName="[Rezultati].[Točke].[All]" dimensionUniqueName="[Rezultati]" displayFolder="" count="0" memberValueDatatype="20" unbalanced="0"/>
    <cacheHierarchy uniqueName="[Rezultati].[Opravil]" caption="Opravil" attribute="1" defaultMemberUniqueName="[Rezultati].[Opravil].[All]" allUniqueName="[Rezultati].[Opravil].[All]" dimensionUniqueName="[Rezultati]" displayFolder="" count="0" memberValueDatatype="130" unbalanced="0"/>
    <cacheHierarchy uniqueName="[Skupine].[Test]" caption="Test" attribute="1" defaultMemberUniqueName="[Skupine].[Test].[All]" allUniqueName="[Skupine].[Test].[All]" dimensionUniqueName="[Skupine]" displayFolder="" count="2" memberValueDatatype="130" unbalanced="0">
      <fieldsUsage count="2">
        <fieldUsage x="-1"/>
        <fieldUsage x="0"/>
      </fieldsUsage>
    </cacheHierarchy>
    <cacheHierarchy uniqueName="[Skupine].[Udeležba]" caption="Udeležba" attribute="1" defaultMemberUniqueName="[Skupine].[Udeležba].[All]" allUniqueName="[Skupine].[Udeležba].[All]" dimensionUniqueName="[Skupine]" displayFolder="" count="0" memberValueDatatype="20" unbalanced="0"/>
    <cacheHierarchy uniqueName="[Skupine].[2022]" caption="2022" attribute="1" defaultMemberUniqueName="[Skupine].[2022].[All]" allUniqueName="[Skupine].[2022].[All]" dimensionUniqueName="[Skupine]" displayFolder="" count="0" memberValueDatatype="5" unbalanced="0"/>
    <cacheHierarchy uniqueName="[Skupine].[2021]" caption="2021" attribute="1" defaultMemberUniqueName="[Skupine].[2021].[All]" allUniqueName="[Skupine].[2021].[All]" dimensionUniqueName="[Skupine]" displayFolder="" count="0" memberValueDatatype="5" unbalanced="0"/>
    <cacheHierarchy uniqueName="[Measures].[__XL_Count Skupine]" caption="__XL_Count Skupine" measure="1" displayFolder="" measureGroup="Skupine" count="0" hidden="1"/>
    <cacheHierarchy uniqueName="[Measures].[__XL_Count Rezultati]" caption="__XL_Count Rezultati" measure="1" displayFolder="" measureGroup="Rezultati" count="0" hidden="1"/>
    <cacheHierarchy uniqueName="[Measures].[__No measures defined]" caption="__No measures defined" measure="1" displayFolder="" count="0" hidden="1"/>
    <cacheHierarchy uniqueName="[Measures].[Vsota Udeležba]" caption="Vsota Udeležba" measure="1" displayFolder="" measureGroup="Skupin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Vsota 2022]" caption="Vsota 2022" measure="1" displayFolder="" measureGroup="Skupin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Vsota Točke]" caption="Vsota Točke" measure="1" displayFolder="" measureGroup="Rezultat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ajmanj Točke]" caption="Najmanj Točke" measure="1" displayFolder="" measureGroup="Rezultat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ajveč Točke]" caption="Največ Točke" measure="1" displayFolder="" measureGroup="Rezultat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ezultati" uniqueName="[Rezultati]" caption="Rezultati"/>
    <dimension name="Skupine" uniqueName="[Skupine]" caption="Skupine"/>
  </dimensions>
  <measureGroups count="2">
    <measureGroup name="Rezultati" caption="Rezultati"/>
    <measureGroup name="Skupine" caption="Skupine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"/>
    <x v="0"/>
    <n v="66.84"/>
  </r>
  <r>
    <x v="1"/>
    <n v="12"/>
    <x v="1"/>
    <n v="52.35"/>
  </r>
  <r>
    <x v="2"/>
    <n v="7"/>
    <x v="2"/>
    <n v="49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76841-BE5B-43E7-8D19-1D51384D8CDA}" name="Vrtilna tabela2" cacheId="6" applyNumberFormats="0" applyBorderFormats="0" applyFontFormats="0" applyPatternFormats="0" applyAlignmentFormats="0" applyWidthHeightFormats="1" dataCaption="Vrednosti" updatedVersion="6" minRefreshableVersion="3" useAutoFormatting="1" itemPrintTitles="1" createdVersion="6" indent="0" outline="1" outlineData="1" multipleFieldFilters="0" rowHeaderCaption="SKUPINA">
  <location ref="A3:C7" firstHeaderRow="0" firstDataRow="1" firstDataCol="1"/>
  <pivotFields count="4"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>
      <items count="4">
        <item x="2"/>
        <item x="0"/>
        <item x="1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sota od Udeležba" fld="1" baseField="0" baseItem="0"/>
    <dataField name="Vsota od 2022" fld="2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9AFEC-4910-454F-8BEE-939666D1450E}" name="Vrtilna tabela5" cacheId="84" applyNumberFormats="0" applyBorderFormats="0" applyFontFormats="0" applyPatternFormats="0" applyAlignmentFormats="0" applyWidthHeightFormats="1" dataCaption="Vrednosti" updatedVersion="6" minRefreshableVersion="3" useAutoFormatting="1" subtotalHiddenItems="1" itemPrintTitles="1" createdVersion="6" indent="0" outline="1" outlineData="1" multipleFieldFilters="0" chartFormat="3">
  <location ref="H8:L12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sota Udeležba" fld="1" baseField="0" baseItem="0"/>
    <dataField name="Vsota 2022" fld="2" baseField="0" baseItem="0" numFmtId="2"/>
    <dataField name="Najmanj Točke" fld="3" subtotal="min" baseField="0" baseItem="0"/>
    <dataField name="Največ Točke2" fld="4" subtotal="max" baseField="0" baseItem="0"/>
  </dataFields>
  <formats count="1"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Najmanj Točke2"/>
    <pivotHierarchy dragToData="1" caption="Največ Točke2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kupine]"/>
        <x15:activeTabTopLevelEntity name="[Rezult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IF(E3&gt;50, "da", 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10">
      <calculatedColumnFormula>COUNTIF(Rezultati[Skupina], H3)</calculatedColumnFormula>
    </tableColumn>
    <tableColumn id="3" xr3:uid="{49F9352C-9597-4E44-8122-AF1CE6CE856F}" name="2022" dataDxfId="18">
      <calculatedColumnFormula>AVERAGEIF(Rezultati[Skupina], H3,Rezultati[Točke])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C231-953E-4E7E-A18A-720588BC5056}">
  <dimension ref="A1"/>
  <sheetViews>
    <sheetView workbookViewId="0">
      <selection activeCell="A4" sqref="A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B481-8402-403B-98AE-F7A932F1B759}">
  <dimension ref="A3:C8"/>
  <sheetViews>
    <sheetView workbookViewId="0">
      <selection activeCell="C3" sqref="C3"/>
    </sheetView>
  </sheetViews>
  <sheetFormatPr defaultRowHeight="14.4" x14ac:dyDescent="0.3"/>
  <cols>
    <col min="1" max="1" width="12.33203125" bestFit="1" customWidth="1"/>
    <col min="2" max="2" width="16.77734375" bestFit="1" customWidth="1"/>
    <col min="3" max="4" width="12.88671875" bestFit="1" customWidth="1"/>
  </cols>
  <sheetData>
    <row r="3" spans="1:3" x14ac:dyDescent="0.3">
      <c r="A3" s="4" t="s">
        <v>70</v>
      </c>
      <c r="B3" s="5" t="s">
        <v>68</v>
      </c>
      <c r="C3" s="5" t="s">
        <v>69</v>
      </c>
    </row>
    <row r="4" spans="1:3" x14ac:dyDescent="0.3">
      <c r="A4" s="6" t="s">
        <v>9</v>
      </c>
      <c r="B4" s="5">
        <v>9</v>
      </c>
      <c r="C4" s="5">
        <v>58.222222222222221</v>
      </c>
    </row>
    <row r="5" spans="1:3" x14ac:dyDescent="0.3">
      <c r="A5" s="6" t="s">
        <v>12</v>
      </c>
      <c r="B5" s="5">
        <v>12</v>
      </c>
      <c r="C5" s="5">
        <v>66.5</v>
      </c>
    </row>
    <row r="6" spans="1:3" x14ac:dyDescent="0.3">
      <c r="A6" s="6" t="s">
        <v>15</v>
      </c>
      <c r="B6" s="5">
        <v>7</v>
      </c>
      <c r="C6" s="5">
        <v>47.714285714285715</v>
      </c>
    </row>
    <row r="7" spans="1:3" x14ac:dyDescent="0.3">
      <c r="A7" s="6" t="s">
        <v>67</v>
      </c>
      <c r="B7" s="5">
        <v>28</v>
      </c>
      <c r="C7" s="5">
        <v>172.43650793650795</v>
      </c>
    </row>
    <row r="8" spans="1:3" x14ac:dyDescent="0.3">
      <c r="A8" s="5"/>
      <c r="B8" s="5"/>
      <c r="C8" s="5"/>
    </row>
  </sheetData>
  <pageMargins left="0.7" right="0.7" top="0.75" bottom="0.75" header="0.3" footer="0.3"/>
  <pageSetup paperSize="9"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D33" sqref="D33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14.33203125" bestFit="1" customWidth="1"/>
    <col min="9" max="9" width="14.109375" bestFit="1" customWidth="1"/>
    <col min="10" max="10" width="10.21875" bestFit="1" customWidth="1"/>
    <col min="11" max="11" width="13.77734375" bestFit="1" customWidth="1"/>
    <col min="12" max="12" width="13.33203125" bestFit="1" customWidth="1"/>
    <col min="13" max="13" width="7.6640625" bestFit="1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3">
      <c r="B3" t="s">
        <v>62</v>
      </c>
      <c r="C3" t="s">
        <v>63</v>
      </c>
      <c r="D3" t="s">
        <v>12</v>
      </c>
      <c r="E3">
        <v>38</v>
      </c>
      <c r="F3" t="str">
        <f>IF(E3&gt;50, "da", "ne")</f>
        <v>ne</v>
      </c>
      <c r="H3" s="5" t="s">
        <v>9</v>
      </c>
      <c r="I3" s="7">
        <f>COUNTIF(Rezultati[Skupina], H3)</f>
        <v>9</v>
      </c>
      <c r="J3" s="5">
        <f>AVERAGEIF(Rezultati[Skupina], H3,Rezultati[Točke])</f>
        <v>58.222222222222221</v>
      </c>
      <c r="K3" s="5">
        <v>66.84</v>
      </c>
    </row>
    <row r="4" spans="2:12" x14ac:dyDescent="0.3">
      <c r="B4" t="s">
        <v>34</v>
      </c>
      <c r="C4" t="s">
        <v>35</v>
      </c>
      <c r="D4" t="s">
        <v>12</v>
      </c>
      <c r="E4">
        <v>39</v>
      </c>
      <c r="F4" t="str">
        <f t="shared" ref="F4:F30" si="0">IF(E4&gt;50, "da", "ne")</f>
        <v>ne</v>
      </c>
      <c r="H4" s="5" t="s">
        <v>12</v>
      </c>
      <c r="I4" s="7">
        <f>COUNTIF(Rezultati[Skupina], H4)</f>
        <v>12</v>
      </c>
      <c r="J4" s="5">
        <f>ROUND(AVERAGEIF(Rezultati[Skupina], H4,Rezultati[Točke]), 2)</f>
        <v>66.5</v>
      </c>
      <c r="K4" s="5">
        <v>52.35</v>
      </c>
    </row>
    <row r="5" spans="2:12" x14ac:dyDescent="0.3">
      <c r="B5" t="s">
        <v>7</v>
      </c>
      <c r="C5" t="s">
        <v>36</v>
      </c>
      <c r="D5" t="s">
        <v>12</v>
      </c>
      <c r="E5">
        <v>36</v>
      </c>
      <c r="F5" t="str">
        <f t="shared" si="0"/>
        <v>ne</v>
      </c>
      <c r="H5" s="5" t="s">
        <v>15</v>
      </c>
      <c r="I5" s="7">
        <f>COUNTIF(Rezultati[Skupina], H5)</f>
        <v>7</v>
      </c>
      <c r="J5" s="5">
        <f>AVERAGEIF(Rezultati[Skupina], H5,Rezultati[Točke])</f>
        <v>47.714285714285715</v>
      </c>
      <c r="K5">
        <v>49.66</v>
      </c>
    </row>
    <row r="6" spans="2:12" x14ac:dyDescent="0.3">
      <c r="B6" t="s">
        <v>7</v>
      </c>
      <c r="C6" t="s">
        <v>8</v>
      </c>
      <c r="D6" t="s">
        <v>9</v>
      </c>
      <c r="E6">
        <v>93</v>
      </c>
      <c r="F6" t="str">
        <f t="shared" si="0"/>
        <v>da</v>
      </c>
    </row>
    <row r="7" spans="2:12" x14ac:dyDescent="0.3">
      <c r="B7" t="s">
        <v>37</v>
      </c>
      <c r="C7" t="s">
        <v>38</v>
      </c>
      <c r="D7" t="s">
        <v>9</v>
      </c>
      <c r="E7">
        <v>77</v>
      </c>
      <c r="F7" t="str">
        <f t="shared" si="0"/>
        <v>da</v>
      </c>
    </row>
    <row r="8" spans="2:12" x14ac:dyDescent="0.3">
      <c r="B8" t="s">
        <v>39</v>
      </c>
      <c r="C8" t="s">
        <v>40</v>
      </c>
      <c r="D8" t="s">
        <v>12</v>
      </c>
      <c r="E8">
        <v>100</v>
      </c>
      <c r="F8" t="str">
        <f t="shared" si="0"/>
        <v>da</v>
      </c>
      <c r="H8" s="1" t="s">
        <v>66</v>
      </c>
      <c r="I8" t="s">
        <v>71</v>
      </c>
      <c r="J8" t="s">
        <v>72</v>
      </c>
      <c r="K8" t="s">
        <v>73</v>
      </c>
      <c r="L8" t="s">
        <v>74</v>
      </c>
    </row>
    <row r="9" spans="2:12" x14ac:dyDescent="0.3">
      <c r="B9" t="s">
        <v>10</v>
      </c>
      <c r="C9" t="s">
        <v>11</v>
      </c>
      <c r="D9" t="s">
        <v>9</v>
      </c>
      <c r="E9">
        <v>94</v>
      </c>
      <c r="F9" t="str">
        <f t="shared" si="0"/>
        <v>da</v>
      </c>
      <c r="H9" s="2" t="s">
        <v>9</v>
      </c>
      <c r="I9" s="3">
        <v>9</v>
      </c>
      <c r="J9" s="5">
        <v>58.222222222222221</v>
      </c>
      <c r="K9" s="3">
        <v>34</v>
      </c>
      <c r="L9" s="3">
        <v>94</v>
      </c>
    </row>
    <row r="10" spans="2:12" x14ac:dyDescent="0.3">
      <c r="B10" t="s">
        <v>41</v>
      </c>
      <c r="C10" t="s">
        <v>42</v>
      </c>
      <c r="D10" t="s">
        <v>15</v>
      </c>
      <c r="E10">
        <v>26</v>
      </c>
      <c r="F10" t="str">
        <f t="shared" si="0"/>
        <v>ne</v>
      </c>
      <c r="H10" s="2" t="s">
        <v>12</v>
      </c>
      <c r="I10" s="3">
        <v>12</v>
      </c>
      <c r="J10" s="5">
        <v>66.5</v>
      </c>
      <c r="K10" s="3">
        <v>36</v>
      </c>
      <c r="L10" s="3">
        <v>100</v>
      </c>
    </row>
    <row r="11" spans="2:12" x14ac:dyDescent="0.3">
      <c r="B11" t="s">
        <v>13</v>
      </c>
      <c r="C11" t="s">
        <v>14</v>
      </c>
      <c r="D11" t="s">
        <v>12</v>
      </c>
      <c r="E11">
        <v>44</v>
      </c>
      <c r="F11" t="str">
        <f t="shared" si="0"/>
        <v>ne</v>
      </c>
      <c r="H11" s="2" t="s">
        <v>15</v>
      </c>
      <c r="I11" s="3">
        <v>7</v>
      </c>
      <c r="J11" s="5">
        <v>47.714285714285715</v>
      </c>
      <c r="K11" s="3">
        <v>26</v>
      </c>
      <c r="L11" s="3">
        <v>76</v>
      </c>
    </row>
    <row r="12" spans="2:12" x14ac:dyDescent="0.3">
      <c r="B12" t="s">
        <v>16</v>
      </c>
      <c r="C12" t="s">
        <v>17</v>
      </c>
      <c r="D12" t="s">
        <v>15</v>
      </c>
      <c r="E12">
        <v>34</v>
      </c>
      <c r="F12" t="str">
        <f t="shared" si="0"/>
        <v>ne</v>
      </c>
      <c r="H12" s="2" t="s">
        <v>67</v>
      </c>
      <c r="I12" s="3">
        <v>28</v>
      </c>
      <c r="J12" s="5">
        <v>172.43650793650795</v>
      </c>
      <c r="K12" s="3">
        <v>26</v>
      </c>
      <c r="L12" s="3">
        <v>100</v>
      </c>
    </row>
    <row r="13" spans="2:12" x14ac:dyDescent="0.3">
      <c r="B13" t="s">
        <v>43</v>
      </c>
      <c r="C13" t="s">
        <v>44</v>
      </c>
      <c r="D13" t="s">
        <v>12</v>
      </c>
      <c r="E13">
        <v>86</v>
      </c>
      <c r="F13" t="str">
        <f t="shared" si="0"/>
        <v>da</v>
      </c>
    </row>
    <row r="14" spans="2:12" x14ac:dyDescent="0.3">
      <c r="B14" t="s">
        <v>45</v>
      </c>
      <c r="C14" t="s">
        <v>46</v>
      </c>
      <c r="D14" t="s">
        <v>12</v>
      </c>
      <c r="E14">
        <v>90</v>
      </c>
      <c r="F14" t="str">
        <f t="shared" si="0"/>
        <v>da</v>
      </c>
    </row>
    <row r="15" spans="2:12" x14ac:dyDescent="0.3">
      <c r="B15" t="s">
        <v>18</v>
      </c>
      <c r="C15" t="s">
        <v>19</v>
      </c>
      <c r="D15" t="s">
        <v>12</v>
      </c>
      <c r="E15">
        <v>67</v>
      </c>
      <c r="F15" t="str">
        <f t="shared" si="0"/>
        <v>da</v>
      </c>
    </row>
    <row r="16" spans="2:12" x14ac:dyDescent="0.3">
      <c r="B16" t="s">
        <v>20</v>
      </c>
      <c r="C16" t="s">
        <v>21</v>
      </c>
      <c r="D16" t="s">
        <v>9</v>
      </c>
      <c r="E16">
        <v>42</v>
      </c>
      <c r="F16" t="str">
        <f t="shared" si="0"/>
        <v>ne</v>
      </c>
    </row>
    <row r="17" spans="2:6" x14ac:dyDescent="0.3">
      <c r="B17" t="s">
        <v>47</v>
      </c>
      <c r="C17" t="s">
        <v>48</v>
      </c>
      <c r="D17" t="s">
        <v>15</v>
      </c>
      <c r="E17">
        <v>44</v>
      </c>
      <c r="F17" t="str">
        <f t="shared" si="0"/>
        <v>ne</v>
      </c>
    </row>
    <row r="18" spans="2:6" x14ac:dyDescent="0.3">
      <c r="B18" t="s">
        <v>22</v>
      </c>
      <c r="C18" t="s">
        <v>23</v>
      </c>
      <c r="D18" t="s">
        <v>12</v>
      </c>
      <c r="E18">
        <v>64</v>
      </c>
      <c r="F18" t="str">
        <f t="shared" si="0"/>
        <v>da</v>
      </c>
    </row>
    <row r="19" spans="2:6" x14ac:dyDescent="0.3">
      <c r="B19" t="s">
        <v>24</v>
      </c>
      <c r="C19" t="s">
        <v>25</v>
      </c>
      <c r="D19" t="s">
        <v>15</v>
      </c>
      <c r="E19">
        <v>30</v>
      </c>
      <c r="F19" t="str">
        <f t="shared" si="0"/>
        <v>ne</v>
      </c>
    </row>
    <row r="20" spans="2:6" x14ac:dyDescent="0.3">
      <c r="B20" t="s">
        <v>49</v>
      </c>
      <c r="C20" t="s">
        <v>29</v>
      </c>
      <c r="D20" t="s">
        <v>9</v>
      </c>
      <c r="E20">
        <v>57</v>
      </c>
      <c r="F20" t="str">
        <f t="shared" si="0"/>
        <v>da</v>
      </c>
    </row>
    <row r="21" spans="2:6" x14ac:dyDescent="0.3">
      <c r="B21" t="s">
        <v>50</v>
      </c>
      <c r="C21" t="s">
        <v>51</v>
      </c>
      <c r="D21" t="s">
        <v>9</v>
      </c>
      <c r="E21">
        <v>43</v>
      </c>
      <c r="F21" t="str">
        <f t="shared" si="0"/>
        <v>ne</v>
      </c>
    </row>
    <row r="22" spans="2:6" x14ac:dyDescent="0.3">
      <c r="B22" t="s">
        <v>60</v>
      </c>
      <c r="C22" t="s">
        <v>61</v>
      </c>
      <c r="D22" t="s">
        <v>9</v>
      </c>
      <c r="E22">
        <v>38</v>
      </c>
      <c r="F22" t="str">
        <f t="shared" si="0"/>
        <v>ne</v>
      </c>
    </row>
    <row r="23" spans="2:6" x14ac:dyDescent="0.3">
      <c r="B23" t="s">
        <v>52</v>
      </c>
      <c r="C23" t="s">
        <v>53</v>
      </c>
      <c r="D23" t="s">
        <v>12</v>
      </c>
      <c r="E23">
        <v>85</v>
      </c>
      <c r="F23" t="str">
        <f t="shared" si="0"/>
        <v>da</v>
      </c>
    </row>
    <row r="24" spans="2:6" x14ac:dyDescent="0.3">
      <c r="B24" t="s">
        <v>54</v>
      </c>
      <c r="C24" t="s">
        <v>55</v>
      </c>
      <c r="D24" t="s">
        <v>15</v>
      </c>
      <c r="E24">
        <v>76</v>
      </c>
      <c r="F24" t="str">
        <f t="shared" si="0"/>
        <v>da</v>
      </c>
    </row>
    <row r="25" spans="2:6" x14ac:dyDescent="0.3">
      <c r="B25" t="s">
        <v>56</v>
      </c>
      <c r="C25" t="s">
        <v>57</v>
      </c>
      <c r="D25" t="s">
        <v>9</v>
      </c>
      <c r="E25">
        <v>34</v>
      </c>
      <c r="F25" t="str">
        <f t="shared" si="0"/>
        <v>ne</v>
      </c>
    </row>
    <row r="26" spans="2:6" x14ac:dyDescent="0.3">
      <c r="B26" t="s">
        <v>58</v>
      </c>
      <c r="C26" t="s">
        <v>59</v>
      </c>
      <c r="D26" t="s">
        <v>12</v>
      </c>
      <c r="E26">
        <v>79</v>
      </c>
      <c r="F26" t="str">
        <f t="shared" si="0"/>
        <v>da</v>
      </c>
    </row>
    <row r="27" spans="2:6" x14ac:dyDescent="0.3">
      <c r="B27" t="s">
        <v>26</v>
      </c>
      <c r="C27" t="s">
        <v>27</v>
      </c>
      <c r="D27" t="s">
        <v>12</v>
      </c>
      <c r="E27">
        <v>70</v>
      </c>
      <c r="F27" t="str">
        <f t="shared" si="0"/>
        <v>da</v>
      </c>
    </row>
    <row r="28" spans="2:6" x14ac:dyDescent="0.3">
      <c r="B28" t="s">
        <v>30</v>
      </c>
      <c r="C28" t="s">
        <v>31</v>
      </c>
      <c r="D28" t="s">
        <v>15</v>
      </c>
      <c r="E28">
        <v>66</v>
      </c>
      <c r="F28" t="str">
        <f t="shared" si="0"/>
        <v>da</v>
      </c>
    </row>
    <row r="29" spans="2:6" x14ac:dyDescent="0.3">
      <c r="B29" t="s">
        <v>28</v>
      </c>
      <c r="C29" t="s">
        <v>29</v>
      </c>
      <c r="D29" t="s">
        <v>15</v>
      </c>
      <c r="E29">
        <v>58</v>
      </c>
      <c r="F29" t="str">
        <f t="shared" si="0"/>
        <v>da</v>
      </c>
    </row>
    <row r="30" spans="2:6" x14ac:dyDescent="0.3">
      <c r="B30" t="s">
        <v>32</v>
      </c>
      <c r="C30" t="s">
        <v>33</v>
      </c>
      <c r="D30" t="s">
        <v>9</v>
      </c>
      <c r="E30">
        <v>46</v>
      </c>
      <c r="F30" t="str">
        <f t="shared" si="0"/>
        <v>ne</v>
      </c>
    </row>
  </sheetData>
  <conditionalFormatting sqref="B3:C30">
    <cfRule type="expression" dxfId="1" priority="2">
      <formula>$E3&lt;50</formula>
    </cfRule>
  </conditionalFormatting>
  <conditionalFormatting sqref="E3:E30">
    <cfRule type="expression" dxfId="0" priority="1">
      <formula>$E3&lt;50</formula>
    </cfRule>
  </conditionalFormatting>
  <pageMargins left="0.7" right="0.7" top="0.75" bottom="0.75" header="0.3" footer="0.3"/>
  <pageSetup paperSize="9" orientation="portrait" horizontalDpi="4294967293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Uporabnik sistema Windows</cp:lastModifiedBy>
  <dcterms:created xsi:type="dcterms:W3CDTF">2007-11-10T02:36:44Z</dcterms:created>
  <dcterms:modified xsi:type="dcterms:W3CDTF">2025-12-20T11:11:55Z</dcterms:modified>
</cp:coreProperties>
</file>