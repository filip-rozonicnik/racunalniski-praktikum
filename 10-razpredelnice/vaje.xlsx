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\"/>
    </mc:Choice>
  </mc:AlternateContent>
  <xr:revisionPtr revIDLastSave="0" documentId="13_ncr:1_{39E0EBD7-78D6-4F54-8A1A-9052D696BD15}" xr6:coauthVersionLast="36" xr6:coauthVersionMax="36" xr10:uidLastSave="{00000000-0000-0000-0000-000000000000}"/>
  <bookViews>
    <workbookView xWindow="0" yWindow="0" windowWidth="17256" windowHeight="5640" activeTab="2" xr2:uid="{D1D1AFC3-436F-4FFD-8AD7-D549AC7056AC}"/>
  </bookViews>
  <sheets>
    <sheet name="številke" sheetId="1" r:id="rId1"/>
    <sheet name="kolokviji" sheetId="3" r:id="rId2"/>
    <sheet name="sladoled" sheetId="2" r:id="rId3"/>
  </sheets>
  <definedNames>
    <definedName name="ExternalData_1" localSheetId="1" hidden="1">kolokviji!$A$1:$I$31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2" i="3" l="1"/>
  <c r="F32" i="3"/>
  <c r="E32" i="3"/>
  <c r="D32" i="3"/>
  <c r="H32" i="3"/>
  <c r="I32" i="3"/>
  <c r="C3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I22" i="3"/>
  <c r="I23" i="3"/>
  <c r="I24" i="3"/>
  <c r="I25" i="3"/>
  <c r="I26" i="3"/>
  <c r="I27" i="3"/>
  <c r="I28" i="3"/>
  <c r="I29" i="3"/>
  <c r="I30" i="3"/>
  <c r="I31" i="3"/>
  <c r="I20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E12" i="1"/>
  <c r="F12" i="1"/>
  <c r="G12" i="1"/>
  <c r="H12" i="1"/>
  <c r="I12" i="1"/>
  <c r="J12" i="1"/>
  <c r="K12" i="1"/>
  <c r="L12" i="1"/>
  <c r="E11" i="1"/>
  <c r="F11" i="1"/>
  <c r="G11" i="1"/>
  <c r="H11" i="1"/>
  <c r="I11" i="1"/>
  <c r="J11" i="1"/>
  <c r="K11" i="1"/>
  <c r="L11" i="1"/>
  <c r="E10" i="1"/>
  <c r="F10" i="1"/>
  <c r="G10" i="1"/>
  <c r="H10" i="1"/>
  <c r="I10" i="1"/>
  <c r="J10" i="1"/>
  <c r="K10" i="1"/>
  <c r="L10" i="1"/>
  <c r="E9" i="1"/>
  <c r="F9" i="1"/>
  <c r="G9" i="1"/>
  <c r="H9" i="1"/>
  <c r="I9" i="1"/>
  <c r="J9" i="1"/>
  <c r="K9" i="1"/>
  <c r="L9" i="1"/>
  <c r="E8" i="1"/>
  <c r="F8" i="1"/>
  <c r="G8" i="1"/>
  <c r="H8" i="1"/>
  <c r="I8" i="1"/>
  <c r="J8" i="1"/>
  <c r="K8" i="1"/>
  <c r="L8" i="1"/>
  <c r="E7" i="1"/>
  <c r="F7" i="1"/>
  <c r="G7" i="1"/>
  <c r="H7" i="1"/>
  <c r="I7" i="1"/>
  <c r="J7" i="1"/>
  <c r="K7" i="1"/>
  <c r="L7" i="1"/>
  <c r="E6" i="1"/>
  <c r="F6" i="1"/>
  <c r="G6" i="1"/>
  <c r="H6" i="1"/>
  <c r="I6" i="1"/>
  <c r="J6" i="1"/>
  <c r="K6" i="1"/>
  <c r="L6" i="1"/>
  <c r="D12" i="1"/>
  <c r="D11" i="1"/>
  <c r="D10" i="1"/>
  <c r="D9" i="1"/>
  <c r="D8" i="1"/>
  <c r="D7" i="1"/>
  <c r="D6" i="1"/>
  <c r="E5" i="1"/>
  <c r="F5" i="1"/>
  <c r="G5" i="1"/>
  <c r="H5" i="1"/>
  <c r="I5" i="1"/>
  <c r="J5" i="1"/>
  <c r="K5" i="1"/>
  <c r="L5" i="1"/>
  <c r="D5" i="1"/>
  <c r="D4" i="1"/>
  <c r="E4" i="1"/>
  <c r="F4" i="1"/>
  <c r="G4" i="1"/>
  <c r="H4" i="1"/>
  <c r="I4" i="1"/>
  <c r="J4" i="1"/>
  <c r="K4" i="1"/>
  <c r="L4" i="1"/>
  <c r="E3" i="1"/>
  <c r="F3" i="1"/>
  <c r="G3" i="1"/>
  <c r="H3" i="1"/>
  <c r="I3" i="1"/>
  <c r="J3" i="1"/>
  <c r="K3" i="1"/>
  <c r="L3" i="1"/>
  <c r="D3" i="1"/>
  <c r="C4" i="1"/>
  <c r="C5" i="1"/>
  <c r="C6" i="1"/>
  <c r="C7" i="1"/>
  <c r="C8" i="1"/>
  <c r="C9" i="1"/>
  <c r="C10" i="1"/>
  <c r="C11" i="1"/>
  <c r="C12" i="1"/>
  <c r="C3" i="1"/>
  <c r="L2" i="1"/>
  <c r="D2" i="1"/>
  <c r="E2" i="1"/>
  <c r="F2" i="1" s="1"/>
  <c r="G2" i="1" s="1"/>
  <c r="H2" i="1" s="1"/>
  <c r="I2" i="1" s="1"/>
  <c r="J2" i="1" s="1"/>
  <c r="K2" i="1" s="1"/>
  <c r="C2" i="1"/>
  <c r="B12" i="1"/>
  <c r="B4" i="1"/>
  <c r="B5" i="1"/>
  <c r="B6" i="1"/>
  <c r="B7" i="1"/>
  <c r="B8" i="1" s="1"/>
  <c r="B9" i="1" s="1"/>
  <c r="B10" i="1" s="1"/>
  <c r="B11" i="1" s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7D621F-F863-43CB-99BA-74407FC26590}" keepAlive="1" name="Poizvedba – kolokviji" description="Povezava s poizvedbo »kolokviji« v delovnem zvezku." type="5" refreshedVersion="6" background="1" saveData="1">
    <dbPr connection="Provider=Microsoft.Mashup.OleDb.1;Data Source=$Workbook$;Location=kolokviji;Extended Properties=&quot;&quot;" command="SELECT * FROM [kolokviji]"/>
  </connection>
</connections>
</file>

<file path=xl/sharedStrings.xml><?xml version="1.0" encoding="utf-8"?>
<sst xmlns="http://schemas.openxmlformats.org/spreadsheetml/2006/main" count="70" uniqueCount="68">
  <si>
    <t>Priimek</t>
  </si>
  <si>
    <t>Ime</t>
  </si>
  <si>
    <t>K1</t>
  </si>
  <si>
    <t>K2</t>
  </si>
  <si>
    <t>K3</t>
  </si>
  <si>
    <t>DN</t>
  </si>
  <si>
    <t>udeležba</t>
  </si>
  <si>
    <t>skupaj</t>
  </si>
  <si>
    <t>ocena</t>
  </si>
  <si>
    <t>Furlan</t>
  </si>
  <si>
    <t>Luka</t>
  </si>
  <si>
    <t>Karakaš</t>
  </si>
  <si>
    <t>Alenka</t>
  </si>
  <si>
    <t>Kočar</t>
  </si>
  <si>
    <t>Petra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</si>
  <si>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</si>
  <si>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</si>
  <si>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</si>
  <si>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</si>
  <si>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</si>
  <si>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</si>
  <si>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</si>
  <si>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</si>
  <si>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</si>
  <si>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</si>
  <si>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</si>
  <si>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</si>
  <si>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</si>
  <si>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</si>
  <si>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</si>
  <si>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</si>
  <si>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 xml:space="preserve">Žveglič 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</si>
  <si>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</si>
  <si>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</si>
  <si>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</si>
  <si>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</si>
  <si>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</si>
  <si>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</si>
  <si>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</si>
  <si>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</si>
  <si>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</si>
  <si>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</si>
  <si>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</si>
  <si>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</si>
  <si>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</si>
  <si>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</si>
  <si>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</si>
  <si>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</si>
  <si>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</si>
  <si>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</si>
  <si>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</si>
  <si>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</si>
  <si>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</si>
  <si>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</si>
  <si>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</si>
  <si>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</si>
  <si>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</si>
  <si>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</si>
  <si>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</si>
  <si>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</si>
  <si>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</si>
  <si>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</si>
  <si>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</si>
  <si>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Avsec</t>
  </si>
  <si>
    <t>Tone</t>
  </si>
  <si>
    <t>Drčar</t>
  </si>
  <si>
    <t>Maja</t>
  </si>
  <si>
    <t>Povprečje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</si>
</sst>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avadno" xfId="0" builtinId="0"/>
  </cellStyles>
  <dxfs count="6">
    <dxf>
      <font>
        <color rgb="FFC00000"/>
      </font>
    </dxf>
    <dxf>
      <font>
        <b/>
        <i val="0"/>
        <color rgb="FF0070C0"/>
      </font>
    </dxf>
    <dxf>
      <font>
        <color rgb="FFC00000"/>
      </font>
    </dxf>
    <dxf>
      <font>
        <color rgb="FFC00000"/>
      </font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63B865-5E28-4201-A27B-C32A48E7F9CD}" autoFormatId="16" applyNumberFormats="0" applyBorderFormats="0" applyFontFormats="0" applyPatternFormats="0" applyAlignmentFormats="0" applyWidthHeightFormats="0">
  <queryTableRefresh nextId="16">
    <queryTableFields count="9">
      <queryTableField id="2" name="Ime" tableColumnId="2"/>
      <queryTableField id="1" name="Priimek" tableColumnId="1"/>
      <queryTableField id="3" name="K1" tableColumnId="3"/>
      <queryTableField id="4" name="K2" tableColumnId="4"/>
      <queryTableField id="5" name="K3" tableColumnId="5"/>
      <queryTableField id="6" name="DN" tableColumnId="6"/>
      <queryTableField id="7" name="udeležba" tableColumnId="7"/>
      <queryTableField id="8" name="skupaj" tableColumnId="8"/>
      <queryTableField id="9" name="ocen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41039F-036E-4DFC-B7F1-F8494C3D32DD}" name="kolokviji" displayName="kolokviji" ref="A1:I32" tableType="queryTable" totalsRowCount="1">
  <autoFilter ref="A1:I31" xr:uid="{95707C4D-FB9A-479B-B3A5-C55BFA8088E9}"/>
  <tableColumns count="9">
    <tableColumn id="2" xr3:uid="{09785DAB-5ACC-446E-A783-C530B377AAB6}" uniqueName="2" name="Ime" totalsRowLabel="Povprečje" queryTableFieldId="2"/>
    <tableColumn id="1" xr3:uid="{24B802F3-4FF4-48E4-B044-E5B4D084DACE}" uniqueName="1" name="Priimek" queryTableFieldId="1"/>
    <tableColumn id="3" xr3:uid="{D3B10195-AD77-41E2-BFF8-CB7808571CE3}" uniqueName="3" name="K1" totalsRowFunction="custom" queryTableFieldId="3">
      <totalsRowFormula>ROUND(AVERAGE(kolokviji[K1]), 2)</totalsRowFormula>
    </tableColumn>
    <tableColumn id="4" xr3:uid="{1C868A3D-51DD-4EF3-8786-BC2CFCAEE1DB}" uniqueName="4" name="K2" totalsRowFunction="custom" queryTableFieldId="4">
      <totalsRowFormula>ROUND(AVERAGE(kolokviji[K2]), 2)</totalsRowFormula>
    </tableColumn>
    <tableColumn id="5" xr3:uid="{CBBF5731-9F10-4CF5-8426-3F7E44E73AB7}" uniqueName="5" name="K3" totalsRowFunction="custom" queryTableFieldId="5">
      <totalsRowFormula>ROUND(AVERAGE(kolokviji[K3]), 2)</totalsRowFormula>
    </tableColumn>
    <tableColumn id="6" xr3:uid="{4B0A9358-AD2A-4D10-9067-757EC1F8234B}" uniqueName="6" name="DN" totalsRowFunction="custom" queryTableFieldId="6">
      <totalsRowFormula>ROUND(AVERAGE(kolokviji[DN]), 2)</totalsRowFormula>
    </tableColumn>
    <tableColumn id="7" xr3:uid="{D8F3D1EC-70F0-47C0-8B8F-759B17342604}" uniqueName="7" name="udeležba" totalsRowFunction="custom" queryTableFieldId="7">
      <totalsRowFormula>ROUND(AVERAGE(kolokviji[udeležba]), 2)</totalsRowFormula>
    </tableColumn>
    <tableColumn id="8" xr3:uid="{8F7651BB-9D8A-4EBD-B7EC-7597E084C0AE}" uniqueName="8" name="skupaj" totalsRowFunction="custom" queryTableFieldId="8" dataDxfId="5" totalsRowDxfId="4">
      <totalsRowFormula>AVERAGE(kolokviji[skupaj])</totalsRowFormula>
    </tableColumn>
    <tableColumn id="9" xr3:uid="{CE7490B2-6CD4-4C33-B5A5-A1037FB3391C}" uniqueName="9" name="ocena" totalsRowFunction="custom" queryTableFieldId="9">
      <totalsRowFormula>ROUND(AVERAGE(kolokviji[ocena]), 2)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457BB-0908-4C76-9E5D-660B0965CE91}">
  <dimension ref="B2:L12"/>
  <sheetViews>
    <sheetView zoomScale="80" zoomScaleNormal="80" workbookViewId="0">
      <selection activeCell="C1" sqref="C1"/>
    </sheetView>
  </sheetViews>
  <sheetFormatPr defaultRowHeight="14.4" x14ac:dyDescent="0.3"/>
  <sheetData>
    <row r="2" spans="2:12" x14ac:dyDescent="0.3">
      <c r="B2">
        <v>0</v>
      </c>
      <c r="C2">
        <f>1+B2</f>
        <v>1</v>
      </c>
      <c r="D2">
        <f t="shared" ref="D2:K2" si="0">1+C2</f>
        <v>2</v>
      </c>
      <c r="E2">
        <f t="shared" si="0"/>
        <v>3</v>
      </c>
      <c r="F2">
        <f t="shared" si="0"/>
        <v>4</v>
      </c>
      <c r="G2">
        <f t="shared" si="0"/>
        <v>5</v>
      </c>
      <c r="H2">
        <f t="shared" si="0"/>
        <v>6</v>
      </c>
      <c r="I2">
        <f t="shared" si="0"/>
        <v>7</v>
      </c>
      <c r="J2">
        <f t="shared" si="0"/>
        <v>8</v>
      </c>
      <c r="K2">
        <f t="shared" si="0"/>
        <v>9</v>
      </c>
      <c r="L2">
        <f>1+K2</f>
        <v>10</v>
      </c>
    </row>
    <row r="3" spans="2:12" x14ac:dyDescent="0.3">
      <c r="B3">
        <f>1+B2</f>
        <v>1</v>
      </c>
      <c r="C3">
        <f>$C$2*B3</f>
        <v>1</v>
      </c>
      <c r="D3">
        <f>$B$3*D2</f>
        <v>2</v>
      </c>
      <c r="E3">
        <f t="shared" ref="E3:L3" si="1">$B$3*E2</f>
        <v>3</v>
      </c>
      <c r="F3">
        <f t="shared" si="1"/>
        <v>4</v>
      </c>
      <c r="G3">
        <f t="shared" si="1"/>
        <v>5</v>
      </c>
      <c r="H3">
        <f t="shared" si="1"/>
        <v>6</v>
      </c>
      <c r="I3">
        <f t="shared" si="1"/>
        <v>7</v>
      </c>
      <c r="J3">
        <f t="shared" si="1"/>
        <v>8</v>
      </c>
      <c r="K3">
        <f t="shared" si="1"/>
        <v>9</v>
      </c>
      <c r="L3">
        <f t="shared" si="1"/>
        <v>10</v>
      </c>
    </row>
    <row r="4" spans="2:12" x14ac:dyDescent="0.3">
      <c r="B4">
        <f t="shared" ref="B4:B11" si="2">1+B3</f>
        <v>2</v>
      </c>
      <c r="C4">
        <f t="shared" ref="C4:C12" si="3">$C$2*B4</f>
        <v>2</v>
      </c>
      <c r="D4">
        <f>$B$4*D2</f>
        <v>4</v>
      </c>
      <c r="E4">
        <f t="shared" ref="E4:L4" si="4">$B$4*E2</f>
        <v>6</v>
      </c>
      <c r="F4">
        <f t="shared" si="4"/>
        <v>8</v>
      </c>
      <c r="G4">
        <f t="shared" si="4"/>
        <v>10</v>
      </c>
      <c r="H4">
        <f t="shared" si="4"/>
        <v>12</v>
      </c>
      <c r="I4">
        <f t="shared" si="4"/>
        <v>14</v>
      </c>
      <c r="J4">
        <f t="shared" si="4"/>
        <v>16</v>
      </c>
      <c r="K4">
        <f t="shared" si="4"/>
        <v>18</v>
      </c>
      <c r="L4">
        <f t="shared" si="4"/>
        <v>20</v>
      </c>
    </row>
    <row r="5" spans="2:12" x14ac:dyDescent="0.3">
      <c r="B5">
        <f t="shared" si="2"/>
        <v>3</v>
      </c>
      <c r="C5">
        <f t="shared" si="3"/>
        <v>3</v>
      </c>
      <c r="D5">
        <f>$B$5*D2</f>
        <v>6</v>
      </c>
      <c r="E5">
        <f t="shared" ref="E5:L5" si="5">$B$5*E2</f>
        <v>9</v>
      </c>
      <c r="F5">
        <f t="shared" si="5"/>
        <v>12</v>
      </c>
      <c r="G5">
        <f t="shared" si="5"/>
        <v>15</v>
      </c>
      <c r="H5">
        <f t="shared" si="5"/>
        <v>18</v>
      </c>
      <c r="I5">
        <f t="shared" si="5"/>
        <v>21</v>
      </c>
      <c r="J5">
        <f t="shared" si="5"/>
        <v>24</v>
      </c>
      <c r="K5">
        <f t="shared" si="5"/>
        <v>27</v>
      </c>
      <c r="L5">
        <f t="shared" si="5"/>
        <v>30</v>
      </c>
    </row>
    <row r="6" spans="2:12" x14ac:dyDescent="0.3">
      <c r="B6">
        <f t="shared" si="2"/>
        <v>4</v>
      </c>
      <c r="C6">
        <f t="shared" si="3"/>
        <v>4</v>
      </c>
      <c r="D6">
        <f>$B$6*D2</f>
        <v>8</v>
      </c>
      <c r="E6">
        <f t="shared" ref="E6:M6" si="6">$B$6*E2</f>
        <v>12</v>
      </c>
      <c r="F6">
        <f t="shared" si="6"/>
        <v>16</v>
      </c>
      <c r="G6">
        <f t="shared" si="6"/>
        <v>20</v>
      </c>
      <c r="H6">
        <f t="shared" si="6"/>
        <v>24</v>
      </c>
      <c r="I6">
        <f t="shared" si="6"/>
        <v>28</v>
      </c>
      <c r="J6">
        <f t="shared" si="6"/>
        <v>32</v>
      </c>
      <c r="K6">
        <f t="shared" si="6"/>
        <v>36</v>
      </c>
      <c r="L6">
        <f t="shared" si="6"/>
        <v>40</v>
      </c>
    </row>
    <row r="7" spans="2:12" x14ac:dyDescent="0.3">
      <c r="B7">
        <f t="shared" si="2"/>
        <v>5</v>
      </c>
      <c r="C7">
        <f t="shared" si="3"/>
        <v>5</v>
      </c>
      <c r="D7">
        <f>$B$7*D2</f>
        <v>10</v>
      </c>
      <c r="E7">
        <f t="shared" ref="E7:L7" si="7">$B$7*E2</f>
        <v>15</v>
      </c>
      <c r="F7">
        <f t="shared" si="7"/>
        <v>20</v>
      </c>
      <c r="G7">
        <f t="shared" si="7"/>
        <v>25</v>
      </c>
      <c r="H7">
        <f t="shared" si="7"/>
        <v>30</v>
      </c>
      <c r="I7">
        <f t="shared" si="7"/>
        <v>35</v>
      </c>
      <c r="J7">
        <f t="shared" si="7"/>
        <v>40</v>
      </c>
      <c r="K7">
        <f t="shared" si="7"/>
        <v>45</v>
      </c>
      <c r="L7">
        <f t="shared" si="7"/>
        <v>50</v>
      </c>
    </row>
    <row r="8" spans="2:12" x14ac:dyDescent="0.3">
      <c r="B8">
        <f t="shared" si="2"/>
        <v>6</v>
      </c>
      <c r="C8">
        <f t="shared" si="3"/>
        <v>6</v>
      </c>
      <c r="D8">
        <f>$B$8*D2</f>
        <v>12</v>
      </c>
      <c r="E8">
        <f t="shared" ref="E8:L8" si="8">$B$8*E2</f>
        <v>18</v>
      </c>
      <c r="F8">
        <f t="shared" si="8"/>
        <v>24</v>
      </c>
      <c r="G8">
        <f t="shared" si="8"/>
        <v>30</v>
      </c>
      <c r="H8">
        <f t="shared" si="8"/>
        <v>36</v>
      </c>
      <c r="I8">
        <f t="shared" si="8"/>
        <v>42</v>
      </c>
      <c r="J8">
        <f t="shared" si="8"/>
        <v>48</v>
      </c>
      <c r="K8">
        <f t="shared" si="8"/>
        <v>54</v>
      </c>
      <c r="L8">
        <f t="shared" si="8"/>
        <v>60</v>
      </c>
    </row>
    <row r="9" spans="2:12" x14ac:dyDescent="0.3">
      <c r="B9">
        <f t="shared" si="2"/>
        <v>7</v>
      </c>
      <c r="C9">
        <f t="shared" si="3"/>
        <v>7</v>
      </c>
      <c r="D9">
        <f>$B$9*D2</f>
        <v>14</v>
      </c>
      <c r="E9">
        <f t="shared" ref="E9:L9" si="9">$B$9*E2</f>
        <v>21</v>
      </c>
      <c r="F9">
        <f t="shared" si="9"/>
        <v>28</v>
      </c>
      <c r="G9">
        <f t="shared" si="9"/>
        <v>35</v>
      </c>
      <c r="H9">
        <f t="shared" si="9"/>
        <v>42</v>
      </c>
      <c r="I9">
        <f t="shared" si="9"/>
        <v>49</v>
      </c>
      <c r="J9">
        <f t="shared" si="9"/>
        <v>56</v>
      </c>
      <c r="K9">
        <f t="shared" si="9"/>
        <v>63</v>
      </c>
      <c r="L9">
        <f t="shared" si="9"/>
        <v>70</v>
      </c>
    </row>
    <row r="10" spans="2:12" x14ac:dyDescent="0.3">
      <c r="B10">
        <f t="shared" si="2"/>
        <v>8</v>
      </c>
      <c r="C10">
        <f t="shared" si="3"/>
        <v>8</v>
      </c>
      <c r="D10">
        <f>$B$10*D2</f>
        <v>16</v>
      </c>
      <c r="E10">
        <f t="shared" ref="E10:L10" si="10">$B$10*E2</f>
        <v>24</v>
      </c>
      <c r="F10">
        <f t="shared" si="10"/>
        <v>32</v>
      </c>
      <c r="G10">
        <f t="shared" si="10"/>
        <v>40</v>
      </c>
      <c r="H10">
        <f t="shared" si="10"/>
        <v>48</v>
      </c>
      <c r="I10">
        <f t="shared" si="10"/>
        <v>56</v>
      </c>
      <c r="J10">
        <f t="shared" si="10"/>
        <v>64</v>
      </c>
      <c r="K10">
        <f t="shared" si="10"/>
        <v>72</v>
      </c>
      <c r="L10">
        <f t="shared" si="10"/>
        <v>80</v>
      </c>
    </row>
    <row r="11" spans="2:12" x14ac:dyDescent="0.3">
      <c r="B11">
        <f t="shared" si="2"/>
        <v>9</v>
      </c>
      <c r="C11">
        <f t="shared" si="3"/>
        <v>9</v>
      </c>
      <c r="D11">
        <f>$B$11*D2</f>
        <v>18</v>
      </c>
      <c r="E11">
        <f t="shared" ref="E11:L11" si="11">$B$11*E2</f>
        <v>27</v>
      </c>
      <c r="F11">
        <f t="shared" si="11"/>
        <v>36</v>
      </c>
      <c r="G11">
        <f t="shared" si="11"/>
        <v>45</v>
      </c>
      <c r="H11">
        <f t="shared" si="11"/>
        <v>54</v>
      </c>
      <c r="I11">
        <f t="shared" si="11"/>
        <v>63</v>
      </c>
      <c r="J11">
        <f t="shared" si="11"/>
        <v>72</v>
      </c>
      <c r="K11">
        <f t="shared" si="11"/>
        <v>81</v>
      </c>
      <c r="L11">
        <f t="shared" si="11"/>
        <v>90</v>
      </c>
    </row>
    <row r="12" spans="2:12" x14ac:dyDescent="0.3">
      <c r="B12">
        <f>1+B11</f>
        <v>10</v>
      </c>
      <c r="C12">
        <f t="shared" si="3"/>
        <v>10</v>
      </c>
      <c r="D12">
        <f>$B$12*D2</f>
        <v>20</v>
      </c>
      <c r="E12">
        <f t="shared" ref="E12:L12" si="12">$B$12*E2</f>
        <v>30</v>
      </c>
      <c r="F12">
        <f t="shared" si="12"/>
        <v>40</v>
      </c>
      <c r="G12">
        <f t="shared" si="12"/>
        <v>50</v>
      </c>
      <c r="H12">
        <f t="shared" si="12"/>
        <v>60</v>
      </c>
      <c r="I12">
        <f t="shared" si="12"/>
        <v>70</v>
      </c>
      <c r="J12">
        <f t="shared" si="12"/>
        <v>80</v>
      </c>
      <c r="K12">
        <f t="shared" si="12"/>
        <v>90</v>
      </c>
      <c r="L12">
        <f t="shared" si="12"/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9F5B-B78D-4C97-90B3-5E9AE3C151A2}">
  <dimension ref="A1:I32"/>
  <sheetViews>
    <sheetView workbookViewId="0">
      <selection activeCell="K1" sqref="K1"/>
    </sheetView>
  </sheetViews>
  <sheetFormatPr defaultRowHeight="14.4" x14ac:dyDescent="0.3"/>
  <cols>
    <col min="7" max="7" width="10.33203125" bestFit="1" customWidth="1"/>
    <col min="8" max="8" width="9.88671875" style="1" bestFit="1" customWidth="1"/>
    <col min="9" max="9" width="7.77734375" customWidth="1"/>
    <col min="10" max="11" width="5.33203125" bestFit="1" customWidth="1"/>
    <col min="12" max="12" width="5.77734375" bestFit="1" customWidth="1"/>
    <col min="13" max="13" width="10.77734375" bestFit="1" customWidth="1"/>
    <col min="14" max="14" width="8.77734375" bestFit="1" customWidth="1"/>
    <col min="15" max="15" width="8.33203125" bestFit="1" customWidth="1"/>
  </cols>
  <sheetData>
    <row r="1" spans="1:9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">
      <c r="A2" t="s">
        <v>64</v>
      </c>
      <c r="B2" t="s">
        <v>63</v>
      </c>
      <c r="C2">
        <v>35</v>
      </c>
      <c r="D2">
        <v>23</v>
      </c>
      <c r="E2">
        <v>57</v>
      </c>
      <c r="F2">
        <v>50</v>
      </c>
      <c r="G2">
        <v>50</v>
      </c>
      <c r="H2" s="1">
        <f>C2*0.25+D2*0.25+E2*0.25+F2*0.15+G2*0.1</f>
        <v>41.25</v>
      </c>
      <c r="I2">
        <f>IF(H2&lt;50, 5, IF(H2=100, 10, ROUND(H2/10 +1, 2)))</f>
        <v>5</v>
      </c>
    </row>
    <row r="3" spans="1:9" x14ac:dyDescent="0.3">
      <c r="A3" t="s">
        <v>62</v>
      </c>
      <c r="B3" t="s">
        <v>61</v>
      </c>
      <c r="C3">
        <v>38</v>
      </c>
      <c r="D3">
        <v>71</v>
      </c>
      <c r="E3">
        <v>54</v>
      </c>
      <c r="F3">
        <v>74</v>
      </c>
      <c r="G3">
        <v>100</v>
      </c>
      <c r="H3" s="1">
        <f t="shared" ref="H3:H31" si="0">C3*0.25+D3*0.25+E3*0.25+F3*0.15+G3*0.1</f>
        <v>61.85</v>
      </c>
      <c r="I3">
        <f t="shared" ref="I3:I19" si="1">IF(H3&lt;50, 5, IF(H3=100, 10, ROUND(H3/10 +1, 0)))</f>
        <v>7</v>
      </c>
    </row>
    <row r="4" spans="1:9" x14ac:dyDescent="0.3">
      <c r="A4" t="s">
        <v>34</v>
      </c>
      <c r="B4" t="s">
        <v>33</v>
      </c>
      <c r="C4">
        <v>39</v>
      </c>
      <c r="D4">
        <v>68</v>
      </c>
      <c r="E4">
        <v>90</v>
      </c>
      <c r="F4">
        <v>56</v>
      </c>
      <c r="G4">
        <v>99</v>
      </c>
      <c r="H4" s="1">
        <f t="shared" si="0"/>
        <v>67.55</v>
      </c>
      <c r="I4">
        <f t="shared" si="1"/>
        <v>8</v>
      </c>
    </row>
    <row r="5" spans="1:9" x14ac:dyDescent="0.3">
      <c r="A5" t="s">
        <v>66</v>
      </c>
      <c r="B5" t="s">
        <v>65</v>
      </c>
      <c r="C5">
        <v>58</v>
      </c>
      <c r="D5">
        <v>77</v>
      </c>
      <c r="E5">
        <v>93</v>
      </c>
      <c r="F5">
        <v>90</v>
      </c>
      <c r="G5">
        <v>95</v>
      </c>
      <c r="H5" s="1">
        <f t="shared" si="0"/>
        <v>80</v>
      </c>
      <c r="I5">
        <f t="shared" si="1"/>
        <v>9</v>
      </c>
    </row>
    <row r="6" spans="1:9" x14ac:dyDescent="0.3">
      <c r="A6" t="s">
        <v>35</v>
      </c>
      <c r="B6" t="s">
        <v>9</v>
      </c>
      <c r="C6">
        <v>36</v>
      </c>
      <c r="D6">
        <v>78</v>
      </c>
      <c r="E6">
        <v>31</v>
      </c>
      <c r="F6">
        <v>72</v>
      </c>
      <c r="G6">
        <v>56</v>
      </c>
      <c r="H6" s="1">
        <f t="shared" si="0"/>
        <v>52.65</v>
      </c>
      <c r="I6">
        <f t="shared" si="1"/>
        <v>6</v>
      </c>
    </row>
    <row r="7" spans="1:9" x14ac:dyDescent="0.3">
      <c r="A7" t="s">
        <v>10</v>
      </c>
      <c r="B7" t="s">
        <v>9</v>
      </c>
      <c r="C7">
        <v>93</v>
      </c>
      <c r="D7">
        <v>39</v>
      </c>
      <c r="E7">
        <v>38</v>
      </c>
      <c r="F7">
        <v>93</v>
      </c>
      <c r="G7">
        <v>79</v>
      </c>
      <c r="H7" s="1">
        <f t="shared" si="0"/>
        <v>64.350000000000009</v>
      </c>
      <c r="I7">
        <f t="shared" si="1"/>
        <v>7</v>
      </c>
    </row>
    <row r="8" spans="1:9" x14ac:dyDescent="0.3">
      <c r="A8" t="s">
        <v>37</v>
      </c>
      <c r="B8" t="s">
        <v>36</v>
      </c>
      <c r="C8">
        <v>77</v>
      </c>
      <c r="D8">
        <v>47</v>
      </c>
      <c r="E8">
        <v>85</v>
      </c>
      <c r="F8">
        <v>89</v>
      </c>
      <c r="G8">
        <v>100</v>
      </c>
      <c r="H8" s="1">
        <f t="shared" si="0"/>
        <v>75.599999999999994</v>
      </c>
      <c r="I8">
        <f t="shared" si="1"/>
        <v>9</v>
      </c>
    </row>
    <row r="9" spans="1:9" x14ac:dyDescent="0.3">
      <c r="A9" t="s">
        <v>39</v>
      </c>
      <c r="B9" t="s">
        <v>38</v>
      </c>
      <c r="C9">
        <v>100</v>
      </c>
      <c r="D9">
        <v>100</v>
      </c>
      <c r="E9">
        <v>100</v>
      </c>
      <c r="F9">
        <v>100</v>
      </c>
      <c r="G9">
        <v>100</v>
      </c>
      <c r="H9" s="1">
        <f t="shared" si="0"/>
        <v>100</v>
      </c>
      <c r="I9">
        <f t="shared" si="1"/>
        <v>10</v>
      </c>
    </row>
    <row r="10" spans="1:9" x14ac:dyDescent="0.3">
      <c r="A10" t="s">
        <v>12</v>
      </c>
      <c r="B10" t="s">
        <v>11</v>
      </c>
      <c r="C10">
        <v>94</v>
      </c>
      <c r="D10">
        <v>53</v>
      </c>
      <c r="E10">
        <v>51</v>
      </c>
      <c r="F10">
        <v>59</v>
      </c>
      <c r="G10">
        <v>90</v>
      </c>
      <c r="H10" s="1">
        <f t="shared" si="0"/>
        <v>67.349999999999994</v>
      </c>
      <c r="I10">
        <f t="shared" si="1"/>
        <v>8</v>
      </c>
    </row>
    <row r="11" spans="1:9" x14ac:dyDescent="0.3">
      <c r="A11" t="s">
        <v>41</v>
      </c>
      <c r="B11" t="s">
        <v>40</v>
      </c>
      <c r="C11">
        <v>58</v>
      </c>
      <c r="D11">
        <v>33</v>
      </c>
      <c r="E11">
        <v>54</v>
      </c>
      <c r="F11">
        <v>54</v>
      </c>
      <c r="G11">
        <v>99</v>
      </c>
      <c r="H11" s="1">
        <f t="shared" si="0"/>
        <v>54.25</v>
      </c>
      <c r="I11">
        <f t="shared" si="1"/>
        <v>6</v>
      </c>
    </row>
    <row r="12" spans="1:9" x14ac:dyDescent="0.3">
      <c r="A12" t="s">
        <v>14</v>
      </c>
      <c r="B12" t="s">
        <v>13</v>
      </c>
      <c r="C12">
        <v>44</v>
      </c>
      <c r="D12">
        <v>44</v>
      </c>
      <c r="E12">
        <v>61</v>
      </c>
      <c r="F12">
        <v>96</v>
      </c>
      <c r="G12">
        <v>62</v>
      </c>
      <c r="H12" s="1">
        <f t="shared" si="0"/>
        <v>57.85</v>
      </c>
      <c r="I12">
        <f t="shared" si="1"/>
        <v>7</v>
      </c>
    </row>
    <row r="13" spans="1:9" x14ac:dyDescent="0.3">
      <c r="A13" t="s">
        <v>16</v>
      </c>
      <c r="B13" t="s">
        <v>15</v>
      </c>
      <c r="C13">
        <v>34</v>
      </c>
      <c r="D13">
        <v>77</v>
      </c>
      <c r="E13">
        <v>66</v>
      </c>
      <c r="F13">
        <v>68</v>
      </c>
      <c r="G13">
        <v>92</v>
      </c>
      <c r="H13" s="1">
        <f t="shared" si="0"/>
        <v>63.650000000000006</v>
      </c>
      <c r="I13">
        <f t="shared" si="1"/>
        <v>7</v>
      </c>
    </row>
    <row r="14" spans="1:9" x14ac:dyDescent="0.3">
      <c r="A14" t="s">
        <v>43</v>
      </c>
      <c r="B14" t="s">
        <v>42</v>
      </c>
      <c r="C14">
        <v>86</v>
      </c>
      <c r="D14">
        <v>39</v>
      </c>
      <c r="E14">
        <v>97</v>
      </c>
      <c r="F14">
        <v>100</v>
      </c>
      <c r="G14">
        <v>100</v>
      </c>
      <c r="H14" s="1">
        <f t="shared" si="0"/>
        <v>80.5</v>
      </c>
      <c r="I14">
        <f t="shared" si="1"/>
        <v>9</v>
      </c>
    </row>
    <row r="15" spans="1:9" x14ac:dyDescent="0.3">
      <c r="A15" t="s">
        <v>45</v>
      </c>
      <c r="B15" t="s">
        <v>44</v>
      </c>
      <c r="C15">
        <v>90</v>
      </c>
      <c r="D15">
        <v>86</v>
      </c>
      <c r="E15">
        <v>95</v>
      </c>
      <c r="F15">
        <v>88</v>
      </c>
      <c r="G15">
        <v>95</v>
      </c>
      <c r="H15" s="1">
        <f t="shared" si="0"/>
        <v>90.45</v>
      </c>
      <c r="I15">
        <f t="shared" si="1"/>
        <v>10</v>
      </c>
    </row>
    <row r="16" spans="1:9" x14ac:dyDescent="0.3">
      <c r="A16" t="s">
        <v>18</v>
      </c>
      <c r="B16" t="s">
        <v>17</v>
      </c>
      <c r="C16">
        <v>57</v>
      </c>
      <c r="D16">
        <v>84</v>
      </c>
      <c r="E16">
        <v>92</v>
      </c>
      <c r="F16">
        <v>77</v>
      </c>
      <c r="G16">
        <v>85</v>
      </c>
      <c r="H16" s="1">
        <f t="shared" si="0"/>
        <v>78.3</v>
      </c>
      <c r="I16">
        <f t="shared" si="1"/>
        <v>9</v>
      </c>
    </row>
    <row r="17" spans="1:9" x14ac:dyDescent="0.3">
      <c r="A17" t="s">
        <v>20</v>
      </c>
      <c r="B17" t="s">
        <v>19</v>
      </c>
      <c r="C17">
        <v>42</v>
      </c>
      <c r="D17">
        <v>80</v>
      </c>
      <c r="E17">
        <v>78</v>
      </c>
      <c r="F17">
        <v>88</v>
      </c>
      <c r="G17">
        <v>98</v>
      </c>
      <c r="H17" s="1">
        <f t="shared" si="0"/>
        <v>73</v>
      </c>
      <c r="I17">
        <f t="shared" si="1"/>
        <v>8</v>
      </c>
    </row>
    <row r="18" spans="1:9" x14ac:dyDescent="0.3">
      <c r="A18" t="s">
        <v>47</v>
      </c>
      <c r="B18" t="s">
        <v>46</v>
      </c>
      <c r="C18">
        <v>44</v>
      </c>
      <c r="D18">
        <v>49</v>
      </c>
      <c r="E18">
        <v>81</v>
      </c>
      <c r="F18">
        <v>91</v>
      </c>
      <c r="G18">
        <v>68</v>
      </c>
      <c r="H18" s="1">
        <f t="shared" si="0"/>
        <v>63.95</v>
      </c>
      <c r="I18">
        <f t="shared" si="1"/>
        <v>7</v>
      </c>
    </row>
    <row r="19" spans="1:9" x14ac:dyDescent="0.3">
      <c r="A19" t="s">
        <v>22</v>
      </c>
      <c r="B19" t="s">
        <v>21</v>
      </c>
      <c r="C19">
        <v>64</v>
      </c>
      <c r="D19">
        <v>94</v>
      </c>
      <c r="E19">
        <v>64</v>
      </c>
      <c r="F19">
        <v>52</v>
      </c>
      <c r="G19">
        <v>80</v>
      </c>
      <c r="H19" s="1">
        <f t="shared" si="0"/>
        <v>71.3</v>
      </c>
      <c r="I19">
        <f t="shared" si="1"/>
        <v>8</v>
      </c>
    </row>
    <row r="20" spans="1:9" x14ac:dyDescent="0.3">
      <c r="A20" t="s">
        <v>24</v>
      </c>
      <c r="B20" t="s">
        <v>23</v>
      </c>
      <c r="C20">
        <v>30</v>
      </c>
      <c r="D20">
        <v>31</v>
      </c>
      <c r="E20">
        <v>45</v>
      </c>
      <c r="F20">
        <v>50</v>
      </c>
      <c r="G20">
        <v>70</v>
      </c>
      <c r="H20" s="1">
        <f t="shared" si="0"/>
        <v>41</v>
      </c>
      <c r="I20">
        <f>IF(H20&lt;50, 5, IF(H20=100, 10, ROUND(H20/10 +1, 0)))</f>
        <v>5</v>
      </c>
    </row>
    <row r="21" spans="1:9" x14ac:dyDescent="0.3">
      <c r="A21" t="s">
        <v>28</v>
      </c>
      <c r="B21" t="s">
        <v>48</v>
      </c>
      <c r="C21">
        <v>57</v>
      </c>
      <c r="D21">
        <v>49</v>
      </c>
      <c r="E21">
        <v>58</v>
      </c>
      <c r="F21">
        <v>79</v>
      </c>
      <c r="G21">
        <v>53</v>
      </c>
      <c r="H21" s="1">
        <f t="shared" si="0"/>
        <v>58.150000000000006</v>
      </c>
      <c r="I21">
        <f t="shared" ref="I21:I31" si="2">IF(H21&lt;50, 5, IF(H21=100, 10, ROUND(H21/10 +1, 0)))</f>
        <v>7</v>
      </c>
    </row>
    <row r="22" spans="1:9" x14ac:dyDescent="0.3">
      <c r="A22" t="s">
        <v>50</v>
      </c>
      <c r="B22" t="s">
        <v>49</v>
      </c>
      <c r="C22">
        <v>43</v>
      </c>
      <c r="D22">
        <v>51</v>
      </c>
      <c r="E22">
        <v>72</v>
      </c>
      <c r="F22">
        <v>72</v>
      </c>
      <c r="G22">
        <v>65</v>
      </c>
      <c r="H22" s="1">
        <f t="shared" si="0"/>
        <v>58.8</v>
      </c>
      <c r="I22">
        <f t="shared" si="2"/>
        <v>7</v>
      </c>
    </row>
    <row r="23" spans="1:9" x14ac:dyDescent="0.3">
      <c r="A23" t="s">
        <v>60</v>
      </c>
      <c r="B23" t="s">
        <v>59</v>
      </c>
      <c r="C23">
        <v>38</v>
      </c>
      <c r="D23">
        <v>32</v>
      </c>
      <c r="E23">
        <v>60</v>
      </c>
      <c r="F23">
        <v>61</v>
      </c>
      <c r="G23">
        <v>96</v>
      </c>
      <c r="H23" s="1">
        <f t="shared" si="0"/>
        <v>51.25</v>
      </c>
      <c r="I23">
        <f t="shared" si="2"/>
        <v>6</v>
      </c>
    </row>
    <row r="24" spans="1:9" x14ac:dyDescent="0.3">
      <c r="A24" t="s">
        <v>52</v>
      </c>
      <c r="B24" t="s">
        <v>51</v>
      </c>
      <c r="C24">
        <v>85</v>
      </c>
      <c r="D24">
        <v>80</v>
      </c>
      <c r="E24">
        <v>71</v>
      </c>
      <c r="F24">
        <v>95</v>
      </c>
      <c r="G24">
        <v>91</v>
      </c>
      <c r="H24" s="1">
        <f t="shared" si="0"/>
        <v>82.35</v>
      </c>
      <c r="I24">
        <f t="shared" si="2"/>
        <v>9</v>
      </c>
    </row>
    <row r="25" spans="1:9" x14ac:dyDescent="0.3">
      <c r="A25" t="s">
        <v>54</v>
      </c>
      <c r="B25" t="s">
        <v>53</v>
      </c>
      <c r="C25">
        <v>76</v>
      </c>
      <c r="D25">
        <v>84</v>
      </c>
      <c r="E25">
        <v>78</v>
      </c>
      <c r="F25">
        <v>97</v>
      </c>
      <c r="G25">
        <v>100</v>
      </c>
      <c r="H25" s="1">
        <f t="shared" si="0"/>
        <v>84.05</v>
      </c>
      <c r="I25">
        <f t="shared" si="2"/>
        <v>9</v>
      </c>
    </row>
    <row r="26" spans="1:9" x14ac:dyDescent="0.3">
      <c r="A26" t="s">
        <v>56</v>
      </c>
      <c r="B26" t="s">
        <v>55</v>
      </c>
      <c r="C26">
        <v>34</v>
      </c>
      <c r="D26">
        <v>64</v>
      </c>
      <c r="E26">
        <v>68</v>
      </c>
      <c r="F26">
        <v>84</v>
      </c>
      <c r="G26">
        <v>67</v>
      </c>
      <c r="H26" s="1">
        <f t="shared" si="0"/>
        <v>60.800000000000004</v>
      </c>
      <c r="I26">
        <f t="shared" si="2"/>
        <v>7</v>
      </c>
    </row>
    <row r="27" spans="1:9" x14ac:dyDescent="0.3">
      <c r="A27" t="s">
        <v>58</v>
      </c>
      <c r="B27" t="s">
        <v>57</v>
      </c>
      <c r="C27">
        <v>79</v>
      </c>
      <c r="D27">
        <v>33</v>
      </c>
      <c r="E27">
        <v>39</v>
      </c>
      <c r="F27">
        <v>95</v>
      </c>
      <c r="G27">
        <v>87</v>
      </c>
      <c r="H27" s="1">
        <f t="shared" si="0"/>
        <v>60.7</v>
      </c>
      <c r="I27">
        <f t="shared" si="2"/>
        <v>7</v>
      </c>
    </row>
    <row r="28" spans="1:9" x14ac:dyDescent="0.3">
      <c r="A28" t="s">
        <v>26</v>
      </c>
      <c r="B28" t="s">
        <v>25</v>
      </c>
      <c r="C28">
        <v>70</v>
      </c>
      <c r="D28">
        <v>52</v>
      </c>
      <c r="E28">
        <v>62</v>
      </c>
      <c r="F28">
        <v>69</v>
      </c>
      <c r="G28">
        <v>100</v>
      </c>
      <c r="H28" s="1">
        <f t="shared" si="0"/>
        <v>66.349999999999994</v>
      </c>
      <c r="I28">
        <f t="shared" si="2"/>
        <v>8</v>
      </c>
    </row>
    <row r="29" spans="1:9" x14ac:dyDescent="0.3">
      <c r="A29" t="s">
        <v>30</v>
      </c>
      <c r="B29" t="s">
        <v>29</v>
      </c>
      <c r="C29">
        <v>66</v>
      </c>
      <c r="D29">
        <v>86</v>
      </c>
      <c r="E29">
        <v>67</v>
      </c>
      <c r="F29">
        <v>99</v>
      </c>
      <c r="G29">
        <v>100</v>
      </c>
      <c r="H29" s="1">
        <f t="shared" si="0"/>
        <v>79.599999999999994</v>
      </c>
      <c r="I29">
        <f t="shared" si="2"/>
        <v>9</v>
      </c>
    </row>
    <row r="30" spans="1:9" x14ac:dyDescent="0.3">
      <c r="A30" t="s">
        <v>28</v>
      </c>
      <c r="B30" t="s">
        <v>27</v>
      </c>
      <c r="C30">
        <v>98</v>
      </c>
      <c r="D30">
        <v>75</v>
      </c>
      <c r="E30">
        <v>42</v>
      </c>
      <c r="F30">
        <v>83</v>
      </c>
      <c r="G30">
        <v>57</v>
      </c>
      <c r="H30" s="1">
        <f t="shared" si="0"/>
        <v>71.900000000000006</v>
      </c>
      <c r="I30">
        <f t="shared" si="2"/>
        <v>8</v>
      </c>
    </row>
    <row r="31" spans="1:9" x14ac:dyDescent="0.3">
      <c r="A31" t="s">
        <v>32</v>
      </c>
      <c r="B31" t="s">
        <v>31</v>
      </c>
      <c r="C31">
        <v>46</v>
      </c>
      <c r="D31">
        <v>56</v>
      </c>
      <c r="E31">
        <v>78</v>
      </c>
      <c r="F31">
        <v>94</v>
      </c>
      <c r="G31">
        <v>99</v>
      </c>
      <c r="H31" s="1">
        <f t="shared" si="0"/>
        <v>69</v>
      </c>
      <c r="I31">
        <f t="shared" si="2"/>
        <v>8</v>
      </c>
    </row>
    <row r="32" spans="1:9" x14ac:dyDescent="0.3">
      <c r="A32" t="s">
        <v>67</v>
      </c>
      <c r="C32">
        <f>ROUND(AVERAGE(kolokviji[K1]), 2)</f>
        <v>60.37</v>
      </c>
      <c r="D32">
        <f>ROUND(AVERAGE(kolokviji[K2]), 2)</f>
        <v>61.17</v>
      </c>
      <c r="E32">
        <f>ROUND(AVERAGE(kolokviji[K3]), 2)</f>
        <v>67.569999999999993</v>
      </c>
      <c r="F32">
        <f>ROUND(AVERAGE(kolokviji[DN]), 2)</f>
        <v>79.17</v>
      </c>
      <c r="G32">
        <f>ROUND(AVERAGE(kolokviji[udeležba]), 2)</f>
        <v>84.43</v>
      </c>
      <c r="H32" s="1">
        <f>AVERAGE(kolokviji[skupaj])</f>
        <v>67.593333333333334</v>
      </c>
      <c r="I32">
        <f>ROUND(AVERAGE(kolokviji[ocena]), 2)</f>
        <v>7.67</v>
      </c>
    </row>
  </sheetData>
  <conditionalFormatting sqref="I3:I31">
    <cfRule type="cellIs" priority="4" operator="lessThan">
      <formula>6</formula>
    </cfRule>
    <cfRule type="cellIs" dxfId="3" priority="3" operator="lessThan">
      <formula>6</formula>
    </cfRule>
  </conditionalFormatting>
  <conditionalFormatting sqref="I2:I31">
    <cfRule type="cellIs" dxfId="2" priority="2" operator="lessThan">
      <formula>6</formula>
    </cfRule>
    <cfRule type="cellIs" dxfId="1" priority="1" operator="greaterThan">
      <formula>5</formula>
    </cfRule>
  </conditionalFormatting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722C7-B1D6-4A29-8560-71B50E24F0F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E8A72B-8B29-4407-8938-A120E2AF38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številke</vt:lpstr>
      <vt:lpstr>kolokviji</vt:lpstr>
      <vt:lpstr>sladoled</vt:lpstr>
    </vt:vector>
  </TitlesOfParts>
  <Company>Gimnazija Celje -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Uporabnik sistema Windows</dc:creator>
  <cp:lastModifiedBy>Uporabnik sistema Windows</cp:lastModifiedBy>
  <dcterms:created xsi:type="dcterms:W3CDTF">2025-12-19T13:38:19Z</dcterms:created>
  <dcterms:modified xsi:type="dcterms:W3CDTF">2025-12-19T17:14:17Z</dcterms:modified>
</cp:coreProperties>
</file>