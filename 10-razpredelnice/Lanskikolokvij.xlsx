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-razpredelnice\"/>
    </mc:Choice>
  </mc:AlternateContent>
  <xr:revisionPtr revIDLastSave="0" documentId="8_{791FDBEF-366E-402E-B369-7D707BE34D52}" xr6:coauthVersionLast="36" xr6:coauthVersionMax="36" xr10:uidLastSave="{00000000-0000-0000-0000-000000000000}"/>
  <bookViews>
    <workbookView xWindow="0" yWindow="0" windowWidth="9732" windowHeight="6984" activeTab="1" xr2:uid="{EC621C0F-5EFB-4226-AFFF-259B9632A0C1}"/>
  </bookViews>
  <sheets>
    <sheet name="List3" sheetId="3" r:id="rId1"/>
    <sheet name="List2" sheetId="2" r:id="rId2"/>
    <sheet name="List1" sheetId="1" r:id="rId3"/>
  </sheets>
  <definedNames>
    <definedName name="ExternalData_1" localSheetId="1" hidden="1">List2!$A$1:$E$33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A82E7-0CFA-429B-8C76-EFAAB3B1EBE1}" keepAlive="1" name="Poizvedba – vhodni-podatki" description="Povezava s poizvedbo »vhodni-podatki« v delovnem zvezku." type="5" refreshedVersion="6" background="1" saveData="1">
    <dbPr connection="Provider=Microsoft.Mashup.OleDb.1;Data Source=$Workbook$;Location=vhodni-podatki;Extended Properties=&quot;&quot;" command="SELECT * FROM [vhodni-podatki]"/>
  </connection>
</connections>
</file>

<file path=xl/sharedStrings.xml><?xml version="1.0" encoding="utf-8"?>
<sst xmlns="http://schemas.openxmlformats.org/spreadsheetml/2006/main" count="78" uniqueCount="46">
  <si>
    <t>Vrsta</t>
  </si>
  <si>
    <t>Višina (bc)</t>
  </si>
  <si>
    <t>Teža (t oz)</t>
  </si>
  <si>
    <t>Tip</t>
  </si>
  <si>
    <t>Hitrost</t>
  </si>
  <si>
    <t>Bulbasaur</t>
  </si>
  <si>
    <t>Običajen</t>
  </si>
  <si>
    <t>Venusaur</t>
  </si>
  <si>
    <t>Leteč</t>
  </si>
  <si>
    <t>Charmander</t>
  </si>
  <si>
    <t>Charizard</t>
  </si>
  <si>
    <t>Squirtle</t>
  </si>
  <si>
    <t>Blastoise</t>
  </si>
  <si>
    <t>Butterfree</t>
  </si>
  <si>
    <t>Pidgey</t>
  </si>
  <si>
    <t>Pidgeot</t>
  </si>
  <si>
    <t>Pikachu</t>
  </si>
  <si>
    <t>Sandslash</t>
  </si>
  <si>
    <t>Ognjen</t>
  </si>
  <si>
    <t>Nidoking</t>
  </si>
  <si>
    <t>Clefable</t>
  </si>
  <si>
    <t>Ninetales</t>
  </si>
  <si>
    <t>Golbat</t>
  </si>
  <si>
    <t>Jasnoviden</t>
  </si>
  <si>
    <t>Dugtrio</t>
  </si>
  <si>
    <t>Meowth</t>
  </si>
  <si>
    <t>Machamp</t>
  </si>
  <si>
    <t>Golem</t>
  </si>
  <si>
    <t>Rapidash</t>
  </si>
  <si>
    <t>Magneton</t>
  </si>
  <si>
    <t>Gengar</t>
  </si>
  <si>
    <t>Onix</t>
  </si>
  <si>
    <t>Rhydon</t>
  </si>
  <si>
    <t>Gyarados</t>
  </si>
  <si>
    <t>Ditto</t>
  </si>
  <si>
    <t>Eevee</t>
  </si>
  <si>
    <t>Vaporeon</t>
  </si>
  <si>
    <t>Jolteon</t>
  </si>
  <si>
    <t>Flareon</t>
  </si>
  <si>
    <t>Snorlax</t>
  </si>
  <si>
    <t>Dragonite</t>
  </si>
  <si>
    <t>Gostota</t>
  </si>
  <si>
    <t>Oznake vrstic</t>
  </si>
  <si>
    <t>Povprečje od Hitrost</t>
  </si>
  <si>
    <t>Povprečje od Gostota</t>
  </si>
  <si>
    <t>NAJTAHITR POKEMON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</si>
</sst>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avadno" xfId="0" builtinId="0"/>
  </cellStyles>
  <dxfs count="9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porabnik sistema Windows" refreshedDate="46017.936312962964" createdVersion="6" refreshedVersion="6" minRefreshableVersion="3" recordCount="32" xr:uid="{D9E341BB-0B7A-4EC9-BC30-BDB3A542ED18}">
  <cacheSource type="worksheet">
    <worksheetSource name="vhodni_podatki"/>
  </cacheSource>
  <cacheFields count="6">
    <cacheField name="Vrsta" numFmtId="0">
      <sharedItems/>
    </cacheField>
    <cacheField name="Višina (bc)" numFmtId="0">
      <sharedItems containsSemiMixedTypes="0" containsString="0" containsNumber="1" containsInteger="1" minValue="35" maxValue="1039"/>
    </cacheField>
    <cacheField name="Teža (t oz)" numFmtId="0">
      <sharedItems containsSemiMixedTypes="0" containsString="0" containsNumber="1" containsInteger="1" minValue="58" maxValue="14789"/>
    </cacheField>
    <cacheField name="Tip" numFmtId="0">
      <sharedItems count="4">
        <s v="Običajen"/>
        <s v="Leteč"/>
        <s v="Ognjen"/>
        <s v="Jasnoviden"/>
      </sharedItems>
    </cacheField>
    <cacheField name="Hitrost" numFmtId="0">
      <sharedItems containsSemiMixedTypes="0" containsString="0" containsNumber="1" containsInteger="1" minValue="55" maxValue="123"/>
    </cacheField>
    <cacheField name="Gostota" numFmtId="164">
      <sharedItems containsSemiMixedTypes="0" containsString="0" containsNumber="1" minValue="0.60198516787895695" maxValue="487.46355685131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Bulbasaur"/>
    <n v="83"/>
    <n v="222"/>
    <x v="0"/>
    <n v="85"/>
    <n v="38.825646613161894"/>
  </r>
  <r>
    <s v="Venusaur"/>
    <n v="236"/>
    <n v="3215"/>
    <x v="1"/>
    <n v="123"/>
    <n v="24.459353195798986"/>
  </r>
  <r>
    <s v="Charmander"/>
    <n v="71"/>
    <n v="273"/>
    <x v="0"/>
    <n v="85"/>
    <n v="76.275945695997052"/>
  </r>
  <r>
    <s v="Charizard"/>
    <n v="201"/>
    <n v="2910"/>
    <x v="0"/>
    <n v="85"/>
    <n v="35.834786119894325"/>
  </r>
  <r>
    <s v="Squirtle"/>
    <n v="59"/>
    <n v="289"/>
    <x v="1"/>
    <n v="123"/>
    <n v="140.71545776345195"/>
  </r>
  <r>
    <s v="Blastoise"/>
    <n v="189"/>
    <n v="2749"/>
    <x v="0"/>
    <n v="85"/>
    <n v="40.718270890998419"/>
  </r>
  <r>
    <s v="Butterfree"/>
    <n v="130"/>
    <n v="1029"/>
    <x v="0"/>
    <n v="85"/>
    <n v="46.83659535730542"/>
  </r>
  <r>
    <s v="Pidgey"/>
    <n v="35"/>
    <n v="58"/>
    <x v="0"/>
    <n v="55"/>
    <n v="135.27696793002914"/>
  </r>
  <r>
    <s v="Pidgeot"/>
    <n v="177"/>
    <n v="1270"/>
    <x v="0"/>
    <n v="55"/>
    <n v="22.902554320079968"/>
  </r>
  <r>
    <s v="Pikachu"/>
    <n v="47"/>
    <n v="193"/>
    <x v="0"/>
    <n v="55"/>
    <n v="185.89329917263035"/>
  </r>
  <r>
    <s v="Sandslash"/>
    <n v="118"/>
    <n v="948"/>
    <x v="2"/>
    <n v="100"/>
    <n v="57.698206729996741"/>
  </r>
  <r>
    <s v="Nidoking"/>
    <n v="165"/>
    <n v="1993"/>
    <x v="0"/>
    <n v="55"/>
    <n v="44.366530316943539"/>
  </r>
  <r>
    <s v="Clefable"/>
    <n v="154"/>
    <n v="1286"/>
    <x v="0"/>
    <n v="85"/>
    <n v="35.211036223011263"/>
  </r>
  <r>
    <s v="Ninetales"/>
    <n v="130"/>
    <n v="640"/>
    <x v="0"/>
    <n v="55"/>
    <n v="29.130632680928539"/>
  </r>
  <r>
    <s v="Golbat"/>
    <n v="189"/>
    <n v="1768"/>
    <x v="3"/>
    <n v="110"/>
    <n v="26.187669310762168"/>
  </r>
  <r>
    <s v="Dugtrio"/>
    <n v="83"/>
    <n v="1071"/>
    <x v="0"/>
    <n v="85"/>
    <n v="187.30751136349724"/>
  </r>
  <r>
    <s v="Meowth"/>
    <n v="47"/>
    <n v="135"/>
    <x v="0"/>
    <n v="55"/>
    <n v="130.02899164924921"/>
  </r>
  <r>
    <s v="Machamp"/>
    <n v="189"/>
    <n v="4180"/>
    <x v="0"/>
    <n v="55"/>
    <n v="61.91428604015038"/>
  </r>
  <r>
    <s v="Golem"/>
    <n v="165"/>
    <n v="9645"/>
    <x v="3"/>
    <n v="110"/>
    <n v="214.70907421320643"/>
  </r>
  <r>
    <s v="Rapidash"/>
    <n v="201"/>
    <n v="3054"/>
    <x v="2"/>
    <n v="100"/>
    <n v="37.608053886651987"/>
  </r>
  <r>
    <s v="Magneton"/>
    <n v="118"/>
    <n v="1929"/>
    <x v="0"/>
    <n v="55"/>
    <n v="117.40489533983514"/>
  </r>
  <r>
    <s v="Gengar"/>
    <n v="177"/>
    <n v="1302"/>
    <x v="3"/>
    <n v="110"/>
    <n v="23.479626554916628"/>
  </r>
  <r>
    <s v="Onix"/>
    <n v="1039"/>
    <n v="6752"/>
    <x v="0"/>
    <n v="55"/>
    <n v="0.60198516787895695"/>
  </r>
  <r>
    <s v="Rhydon"/>
    <n v="224"/>
    <n v="3858"/>
    <x v="2"/>
    <n v="100"/>
    <n v="34.325602450801746"/>
  </r>
  <r>
    <s v="Gyarados"/>
    <n v="768"/>
    <n v="7555"/>
    <x v="3"/>
    <n v="110"/>
    <n v="1.6678262639928747"/>
  </r>
  <r>
    <s v="Ditto"/>
    <n v="35"/>
    <n v="129"/>
    <x v="0"/>
    <n v="85"/>
    <n v="300.8746355685131"/>
  </r>
  <r>
    <s v="Eevee"/>
    <n v="35"/>
    <n v="209"/>
    <x v="0"/>
    <n v="85"/>
    <n v="487.46355685131198"/>
  </r>
  <r>
    <s v="Vaporeon"/>
    <n v="118"/>
    <n v="932"/>
    <x v="1"/>
    <n v="123"/>
    <n v="56.724397333709874"/>
  </r>
  <r>
    <s v="Jolteon"/>
    <n v="94"/>
    <n v="788"/>
    <x v="3"/>
    <n v="110"/>
    <n v="94.873005018155894"/>
  </r>
  <r>
    <s v="Flareon"/>
    <n v="106"/>
    <n v="804"/>
    <x v="3"/>
    <n v="110"/>
    <n v="67.505390355797061"/>
  </r>
  <r>
    <s v="Snorlax"/>
    <n v="248"/>
    <n v="14789"/>
    <x v="1"/>
    <n v="123"/>
    <n v="96.958026333456417"/>
  </r>
  <r>
    <s v="Dragonite"/>
    <n v="260"/>
    <n v="6752"/>
    <x v="0"/>
    <n v="85"/>
    <n v="38.4160218479745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C6DF2A-ABA0-4F4F-B3CA-9F99C081B9D2}" name="Vrtilna tabela1" cacheId="2" applyNumberFormats="0" applyBorderFormats="0" applyFontFormats="0" applyPatternFormats="0" applyAlignmentFormats="0" applyWidthHeightFormats="1" dataCaption="Vrednosti" updatedVersion="6" minRefreshableVersion="3" useAutoFormatting="1" rowGrandTotals="0" colGrandTotals="0" itemPrintTitles="1" createdVersion="6" indent="0" outline="1" outlineData="1" multipleFieldFilters="0">
  <location ref="A3:C7" firstHeaderRow="0" firstDataRow="1" firstDataCol="1"/>
  <pivotFields count="6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dataField="1" showAll="0"/>
    <pivotField dataField="1" numFmtId="164" showAll="0"/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Povprečje od Hitrost" fld="4" subtotal="average" baseField="3" baseItem="0"/>
    <dataField name="Povprečje od Gostota" fld="5" subtotal="average" baseField="3" baseItem="0" numFmtId="164"/>
  </dataFields>
  <formats count="3">
    <format dxfId="7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F543C0-8586-49C8-B56E-0FF8CD31AAEA}" autoFormatId="16" applyNumberFormats="0" applyBorderFormats="0" applyFontFormats="0" applyPatternFormats="0" applyAlignmentFormats="0" applyWidthHeightFormats="0">
  <queryTableRefresh nextId="10" unboundColumnsRight="1">
    <queryTableFields count="6">
      <queryTableField id="1" name="Vrsta" tableColumnId="1"/>
      <queryTableField id="2" name="Višina (bc)" tableColumnId="2"/>
      <queryTableField id="3" name="Teža (t oz)" tableColumnId="3"/>
      <queryTableField id="4" name="Tip" tableColumnId="4"/>
      <queryTableField id="5" name="Hitrost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AE1FF-7B05-4D55-BBF7-05A2F8813D60}" name="vhodni_podatki" displayName="vhodni_podatki" ref="A1:F33" tableType="queryTable" totalsRowShown="0">
  <autoFilter ref="A1:F33" xr:uid="{64C4493F-F910-483C-A9D2-9D07595991D0}"/>
  <tableColumns count="6">
    <tableColumn id="1" xr3:uid="{85883B7A-0792-49C2-BE5E-4716D0B7F65E}" uniqueName="1" name="Vrsta" queryTableFieldId="1"/>
    <tableColumn id="2" xr3:uid="{869AEA5C-065D-4397-9ACD-3D1BC5563228}" uniqueName="2" name="Višina (bc)" queryTableFieldId="2"/>
    <tableColumn id="3" xr3:uid="{B702E688-E740-4B14-97FF-AC18EE31AD07}" uniqueName="3" name="Teža (t oz)" queryTableFieldId="3"/>
    <tableColumn id="4" xr3:uid="{B3F35D30-62D8-456D-B4C2-D502EC20125E}" uniqueName="4" name="Tip" queryTableFieldId="4"/>
    <tableColumn id="5" xr3:uid="{8F27B63A-D2A2-4633-BCE2-D25C485C024D}" uniqueName="5" name="Hitrost" queryTableFieldId="5"/>
    <tableColumn id="6" xr3:uid="{DB68E008-1DB1-4D56-8DCA-DAEF6ACA8D0C}" uniqueName="6" name="Gostota" queryTableFieldId="6" dataDxfId="8">
      <calculatedColumnFormula>10^5*vhodni_podatki[[#This Row],[Teža (t oz)]]/vhodni_podatki[[#This Row],[Višina (bc)]]^3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AFC3-839D-44F8-91E3-BEAB7B8F02C6}">
  <dimension ref="A3:C7"/>
  <sheetViews>
    <sheetView workbookViewId="0">
      <selection activeCell="B6" sqref="B6"/>
    </sheetView>
  </sheetViews>
  <sheetFormatPr defaultRowHeight="14.4" x14ac:dyDescent="0.3"/>
  <cols>
    <col min="1" max="1" width="14.33203125" bestFit="1" customWidth="1"/>
    <col min="2" max="2" width="18.33203125" bestFit="1" customWidth="1"/>
    <col min="3" max="3" width="19.33203125" bestFit="1" customWidth="1"/>
  </cols>
  <sheetData>
    <row r="3" spans="1:3" x14ac:dyDescent="0.3">
      <c r="A3" s="2" t="s">
        <v>42</v>
      </c>
      <c r="B3" t="s">
        <v>43</v>
      </c>
      <c r="C3" s="1" t="s">
        <v>44</v>
      </c>
    </row>
    <row r="4" spans="1:3" x14ac:dyDescent="0.3">
      <c r="A4" s="3" t="s">
        <v>23</v>
      </c>
      <c r="B4" s="1">
        <v>110</v>
      </c>
      <c r="C4" s="1">
        <v>71.403765286138523</v>
      </c>
    </row>
    <row r="5" spans="1:3" x14ac:dyDescent="0.3">
      <c r="A5" s="3" t="s">
        <v>8</v>
      </c>
      <c r="B5" s="1">
        <v>123</v>
      </c>
      <c r="C5" s="1">
        <v>79.714308656604317</v>
      </c>
    </row>
    <row r="6" spans="1:3" x14ac:dyDescent="0.3">
      <c r="A6" s="3" t="s">
        <v>6</v>
      </c>
      <c r="B6" s="1">
        <v>70.78947368421052</v>
      </c>
      <c r="C6" s="1">
        <v>106.06758679733632</v>
      </c>
    </row>
    <row r="7" spans="1:3" x14ac:dyDescent="0.3">
      <c r="A7" s="3" t="s">
        <v>18</v>
      </c>
      <c r="B7" s="1">
        <v>100</v>
      </c>
      <c r="C7" s="1">
        <v>43.210621022483487</v>
      </c>
    </row>
  </sheetData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7C89-2B7F-42A4-B6E7-C0E19DFAD6FD}">
  <dimension ref="A1:H33"/>
  <sheetViews>
    <sheetView tabSelected="1" workbookViewId="0">
      <selection activeCell="J16" sqref="J16"/>
    </sheetView>
  </sheetViews>
  <sheetFormatPr defaultRowHeight="14.4" x14ac:dyDescent="0.3"/>
  <cols>
    <col min="1" max="1" width="11" bestFit="1" customWidth="1"/>
    <col min="2" max="2" width="12" bestFit="1" customWidth="1"/>
    <col min="3" max="3" width="11.77734375" bestFit="1" customWidth="1"/>
    <col min="4" max="4" width="9.88671875" bestFit="1" customWidth="1"/>
    <col min="5" max="5" width="8.44140625" customWidth="1"/>
    <col min="6" max="6" width="8.8867187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41</v>
      </c>
    </row>
    <row r="2" spans="1:8" x14ac:dyDescent="0.3">
      <c r="A2" t="s">
        <v>5</v>
      </c>
      <c r="B2">
        <v>83</v>
      </c>
      <c r="C2">
        <v>222</v>
      </c>
      <c r="D2" t="s">
        <v>6</v>
      </c>
      <c r="E2">
        <v>85</v>
      </c>
      <c r="F2" s="1">
        <f>10^5*vhodni_podatki[[#This Row],[Teža (t oz)]]/vhodni_podatki[[#This Row],[Višina (bc)]]^3</f>
        <v>38.825646613161894</v>
      </c>
    </row>
    <row r="3" spans="1:8" x14ac:dyDescent="0.3">
      <c r="A3" t="s">
        <v>7</v>
      </c>
      <c r="B3">
        <v>236</v>
      </c>
      <c r="C3">
        <v>3215</v>
      </c>
      <c r="D3" t="s">
        <v>8</v>
      </c>
      <c r="E3">
        <v>123</v>
      </c>
      <c r="F3" s="1">
        <f>10^5*vhodni_podatki[[#This Row],[Teža (t oz)]]/vhodni_podatki[[#This Row],[Višina (bc)]]^3</f>
        <v>24.459353195798986</v>
      </c>
    </row>
    <row r="4" spans="1:8" x14ac:dyDescent="0.3">
      <c r="A4" t="s">
        <v>9</v>
      </c>
      <c r="B4">
        <v>71</v>
      </c>
      <c r="C4">
        <v>273</v>
      </c>
      <c r="D4" t="s">
        <v>6</v>
      </c>
      <c r="E4">
        <v>85</v>
      </c>
      <c r="F4" s="1">
        <f>10^5*vhodni_podatki[[#This Row],[Teža (t oz)]]/vhodni_podatki[[#This Row],[Višina (bc)]]^3</f>
        <v>76.275945695997052</v>
      </c>
    </row>
    <row r="5" spans="1:8" x14ac:dyDescent="0.3">
      <c r="A5" t="s">
        <v>10</v>
      </c>
      <c r="B5">
        <v>201</v>
      </c>
      <c r="C5">
        <v>2910</v>
      </c>
      <c r="D5" t="s">
        <v>6</v>
      </c>
      <c r="E5">
        <v>85</v>
      </c>
      <c r="F5" s="1">
        <f>10^5*vhodni_podatki[[#This Row],[Teža (t oz)]]/vhodni_podatki[[#This Row],[Višina (bc)]]^3</f>
        <v>35.834786119894325</v>
      </c>
    </row>
    <row r="6" spans="1:8" x14ac:dyDescent="0.3">
      <c r="A6" t="s">
        <v>11</v>
      </c>
      <c r="B6">
        <v>59</v>
      </c>
      <c r="C6">
        <v>289</v>
      </c>
      <c r="D6" t="s">
        <v>8</v>
      </c>
      <c r="E6">
        <v>123</v>
      </c>
      <c r="F6" s="1">
        <f>10^5*vhodni_podatki[[#This Row],[Teža (t oz)]]/vhodni_podatki[[#This Row],[Višina (bc)]]^3</f>
        <v>140.71545776345195</v>
      </c>
    </row>
    <row r="7" spans="1:8" x14ac:dyDescent="0.3">
      <c r="A7" t="s">
        <v>12</v>
      </c>
      <c r="B7">
        <v>189</v>
      </c>
      <c r="C7">
        <v>2749</v>
      </c>
      <c r="D7" t="s">
        <v>6</v>
      </c>
      <c r="E7">
        <v>85</v>
      </c>
      <c r="F7" s="1">
        <f>10^5*vhodni_podatki[[#This Row],[Teža (t oz)]]/vhodni_podatki[[#This Row],[Višina (bc)]]^3</f>
        <v>40.718270890998419</v>
      </c>
      <c r="H7" s="4" t="s">
        <v>45</v>
      </c>
    </row>
    <row r="8" spans="1:8" x14ac:dyDescent="0.3">
      <c r="A8" t="s">
        <v>13</v>
      </c>
      <c r="B8">
        <v>130</v>
      </c>
      <c r="C8">
        <v>1029</v>
      </c>
      <c r="D8" t="s">
        <v>6</v>
      </c>
      <c r="E8">
        <v>85</v>
      </c>
      <c r="F8" s="1">
        <f>10^5*vhodni_podatki[[#This Row],[Teža (t oz)]]/vhodni_podatki[[#This Row],[Višina (bc)]]^3</f>
        <v>46.83659535730542</v>
      </c>
      <c r="H8" t="str">
        <f>INDEX(vhodni_podatki[[#All],[Vrsta]],MATCH(MAX(vhodni_podatki[[#All],[Hitrost]]),vhodni_podatki[[#All],[Hitrost]],0))</f>
        <v>Venusaur</v>
      </c>
    </row>
    <row r="9" spans="1:8" x14ac:dyDescent="0.3">
      <c r="A9" t="s">
        <v>14</v>
      </c>
      <c r="B9">
        <v>35</v>
      </c>
      <c r="C9">
        <v>58</v>
      </c>
      <c r="D9" t="s">
        <v>6</v>
      </c>
      <c r="E9">
        <v>55</v>
      </c>
      <c r="F9" s="1">
        <f>10^5*vhodni_podatki[[#This Row],[Teža (t oz)]]/vhodni_podatki[[#This Row],[Višina (bc)]]^3</f>
        <v>135.27696793002914</v>
      </c>
    </row>
    <row r="10" spans="1:8" x14ac:dyDescent="0.3">
      <c r="A10" t="s">
        <v>15</v>
      </c>
      <c r="B10">
        <v>177</v>
      </c>
      <c r="C10">
        <v>1270</v>
      </c>
      <c r="D10" t="s">
        <v>6</v>
      </c>
      <c r="E10">
        <v>55</v>
      </c>
      <c r="F10" s="1">
        <f>10^5*vhodni_podatki[[#This Row],[Teža (t oz)]]/vhodni_podatki[[#This Row],[Višina (bc)]]^3</f>
        <v>22.902554320079968</v>
      </c>
    </row>
    <row r="11" spans="1:8" x14ac:dyDescent="0.3">
      <c r="A11" t="s">
        <v>16</v>
      </c>
      <c r="B11">
        <v>47</v>
      </c>
      <c r="C11">
        <v>193</v>
      </c>
      <c r="D11" t="s">
        <v>6</v>
      </c>
      <c r="E11">
        <v>55</v>
      </c>
      <c r="F11" s="1">
        <f>10^5*vhodni_podatki[[#This Row],[Teža (t oz)]]/vhodni_podatki[[#This Row],[Višina (bc)]]^3</f>
        <v>185.89329917263035</v>
      </c>
    </row>
    <row r="12" spans="1:8" x14ac:dyDescent="0.3">
      <c r="A12" t="s">
        <v>17</v>
      </c>
      <c r="B12">
        <v>118</v>
      </c>
      <c r="C12">
        <v>948</v>
      </c>
      <c r="D12" t="s">
        <v>18</v>
      </c>
      <c r="E12">
        <v>100</v>
      </c>
      <c r="F12" s="1">
        <f>10^5*vhodni_podatki[[#This Row],[Teža (t oz)]]/vhodni_podatki[[#This Row],[Višina (bc)]]^3</f>
        <v>57.698206729996741</v>
      </c>
    </row>
    <row r="13" spans="1:8" x14ac:dyDescent="0.3">
      <c r="A13" t="s">
        <v>19</v>
      </c>
      <c r="B13">
        <v>165</v>
      </c>
      <c r="C13">
        <v>1993</v>
      </c>
      <c r="D13" t="s">
        <v>6</v>
      </c>
      <c r="E13">
        <v>55</v>
      </c>
      <c r="F13" s="1">
        <f>10^5*vhodni_podatki[[#This Row],[Teža (t oz)]]/vhodni_podatki[[#This Row],[Višina (bc)]]^3</f>
        <v>44.366530316943539</v>
      </c>
    </row>
    <row r="14" spans="1:8" x14ac:dyDescent="0.3">
      <c r="A14" t="s">
        <v>20</v>
      </c>
      <c r="B14">
        <v>154</v>
      </c>
      <c r="C14">
        <v>1286</v>
      </c>
      <c r="D14" t="s">
        <v>6</v>
      </c>
      <c r="E14">
        <v>85</v>
      </c>
      <c r="F14" s="1">
        <f>10^5*vhodni_podatki[[#This Row],[Teža (t oz)]]/vhodni_podatki[[#This Row],[Višina (bc)]]^3</f>
        <v>35.211036223011263</v>
      </c>
    </row>
    <row r="15" spans="1:8" x14ac:dyDescent="0.3">
      <c r="A15" t="s">
        <v>21</v>
      </c>
      <c r="B15">
        <v>130</v>
      </c>
      <c r="C15">
        <v>640</v>
      </c>
      <c r="D15" t="s">
        <v>6</v>
      </c>
      <c r="E15">
        <v>55</v>
      </c>
      <c r="F15" s="1">
        <f>10^5*vhodni_podatki[[#This Row],[Teža (t oz)]]/vhodni_podatki[[#This Row],[Višina (bc)]]^3</f>
        <v>29.130632680928539</v>
      </c>
    </row>
    <row r="16" spans="1:8" x14ac:dyDescent="0.3">
      <c r="A16" t="s">
        <v>22</v>
      </c>
      <c r="B16">
        <v>189</v>
      </c>
      <c r="C16">
        <v>1768</v>
      </c>
      <c r="D16" t="s">
        <v>23</v>
      </c>
      <c r="E16">
        <v>110</v>
      </c>
      <c r="F16" s="1">
        <f>10^5*vhodni_podatki[[#This Row],[Teža (t oz)]]/vhodni_podatki[[#This Row],[Višina (bc)]]^3</f>
        <v>26.187669310762168</v>
      </c>
    </row>
    <row r="17" spans="1:6" x14ac:dyDescent="0.3">
      <c r="A17" t="s">
        <v>24</v>
      </c>
      <c r="B17">
        <v>83</v>
      </c>
      <c r="C17">
        <v>1071</v>
      </c>
      <c r="D17" t="s">
        <v>6</v>
      </c>
      <c r="E17">
        <v>85</v>
      </c>
      <c r="F17" s="1">
        <f>10^5*vhodni_podatki[[#This Row],[Teža (t oz)]]/vhodni_podatki[[#This Row],[Višina (bc)]]^3</f>
        <v>187.30751136349724</v>
      </c>
    </row>
    <row r="18" spans="1:6" x14ac:dyDescent="0.3">
      <c r="A18" t="s">
        <v>25</v>
      </c>
      <c r="B18">
        <v>47</v>
      </c>
      <c r="C18">
        <v>135</v>
      </c>
      <c r="D18" t="s">
        <v>6</v>
      </c>
      <c r="E18">
        <v>55</v>
      </c>
      <c r="F18" s="1">
        <f>10^5*vhodni_podatki[[#This Row],[Teža (t oz)]]/vhodni_podatki[[#This Row],[Višina (bc)]]^3</f>
        <v>130.02899164924921</v>
      </c>
    </row>
    <row r="19" spans="1:6" x14ac:dyDescent="0.3">
      <c r="A19" t="s">
        <v>26</v>
      </c>
      <c r="B19">
        <v>189</v>
      </c>
      <c r="C19">
        <v>4180</v>
      </c>
      <c r="D19" t="s">
        <v>6</v>
      </c>
      <c r="E19">
        <v>55</v>
      </c>
      <c r="F19" s="1">
        <f>10^5*vhodni_podatki[[#This Row],[Teža (t oz)]]/vhodni_podatki[[#This Row],[Višina (bc)]]^3</f>
        <v>61.91428604015038</v>
      </c>
    </row>
    <row r="20" spans="1:6" x14ac:dyDescent="0.3">
      <c r="A20" t="s">
        <v>27</v>
      </c>
      <c r="B20">
        <v>165</v>
      </c>
      <c r="C20">
        <v>9645</v>
      </c>
      <c r="D20" t="s">
        <v>23</v>
      </c>
      <c r="E20">
        <v>110</v>
      </c>
      <c r="F20" s="1">
        <f>10^5*vhodni_podatki[[#This Row],[Teža (t oz)]]/vhodni_podatki[[#This Row],[Višina (bc)]]^3</f>
        <v>214.70907421320643</v>
      </c>
    </row>
    <row r="21" spans="1:6" x14ac:dyDescent="0.3">
      <c r="A21" t="s">
        <v>28</v>
      </c>
      <c r="B21">
        <v>201</v>
      </c>
      <c r="C21">
        <v>3054</v>
      </c>
      <c r="D21" t="s">
        <v>18</v>
      </c>
      <c r="E21">
        <v>100</v>
      </c>
      <c r="F21" s="1">
        <f>10^5*vhodni_podatki[[#This Row],[Teža (t oz)]]/vhodni_podatki[[#This Row],[Višina (bc)]]^3</f>
        <v>37.608053886651987</v>
      </c>
    </row>
    <row r="22" spans="1:6" x14ac:dyDescent="0.3">
      <c r="A22" t="s">
        <v>29</v>
      </c>
      <c r="B22">
        <v>118</v>
      </c>
      <c r="C22">
        <v>1929</v>
      </c>
      <c r="D22" t="s">
        <v>6</v>
      </c>
      <c r="E22">
        <v>55</v>
      </c>
      <c r="F22" s="1">
        <f>10^5*vhodni_podatki[[#This Row],[Teža (t oz)]]/vhodni_podatki[[#This Row],[Višina (bc)]]^3</f>
        <v>117.40489533983514</v>
      </c>
    </row>
    <row r="23" spans="1:6" x14ac:dyDescent="0.3">
      <c r="A23" t="s">
        <v>30</v>
      </c>
      <c r="B23">
        <v>177</v>
      </c>
      <c r="C23">
        <v>1302</v>
      </c>
      <c r="D23" t="s">
        <v>23</v>
      </c>
      <c r="E23">
        <v>110</v>
      </c>
      <c r="F23" s="1">
        <f>10^5*vhodni_podatki[[#This Row],[Teža (t oz)]]/vhodni_podatki[[#This Row],[Višina (bc)]]^3</f>
        <v>23.479626554916628</v>
      </c>
    </row>
    <row r="24" spans="1:6" x14ac:dyDescent="0.3">
      <c r="A24" t="s">
        <v>31</v>
      </c>
      <c r="B24">
        <v>1039</v>
      </c>
      <c r="C24">
        <v>6752</v>
      </c>
      <c r="D24" t="s">
        <v>6</v>
      </c>
      <c r="E24">
        <v>55</v>
      </c>
      <c r="F24" s="1">
        <f>10^5*vhodni_podatki[[#This Row],[Teža (t oz)]]/vhodni_podatki[[#This Row],[Višina (bc)]]^3</f>
        <v>0.60198516787895695</v>
      </c>
    </row>
    <row r="25" spans="1:6" x14ac:dyDescent="0.3">
      <c r="A25" t="s">
        <v>32</v>
      </c>
      <c r="B25">
        <v>224</v>
      </c>
      <c r="C25">
        <v>3858</v>
      </c>
      <c r="D25" t="s">
        <v>18</v>
      </c>
      <c r="E25">
        <v>100</v>
      </c>
      <c r="F25" s="1">
        <f>10^5*vhodni_podatki[[#This Row],[Teža (t oz)]]/vhodni_podatki[[#This Row],[Višina (bc)]]^3</f>
        <v>34.325602450801746</v>
      </c>
    </row>
    <row r="26" spans="1:6" x14ac:dyDescent="0.3">
      <c r="A26" t="s">
        <v>33</v>
      </c>
      <c r="B26">
        <v>768</v>
      </c>
      <c r="C26">
        <v>7555</v>
      </c>
      <c r="D26" t="s">
        <v>23</v>
      </c>
      <c r="E26">
        <v>110</v>
      </c>
      <c r="F26" s="1">
        <f>10^5*vhodni_podatki[[#This Row],[Teža (t oz)]]/vhodni_podatki[[#This Row],[Višina (bc)]]^3</f>
        <v>1.6678262639928747</v>
      </c>
    </row>
    <row r="27" spans="1:6" x14ac:dyDescent="0.3">
      <c r="A27" t="s">
        <v>34</v>
      </c>
      <c r="B27">
        <v>35</v>
      </c>
      <c r="C27">
        <v>129</v>
      </c>
      <c r="D27" t="s">
        <v>6</v>
      </c>
      <c r="E27">
        <v>85</v>
      </c>
      <c r="F27" s="1">
        <f>10^5*vhodni_podatki[[#This Row],[Teža (t oz)]]/vhodni_podatki[[#This Row],[Višina (bc)]]^3</f>
        <v>300.8746355685131</v>
      </c>
    </row>
    <row r="28" spans="1:6" x14ac:dyDescent="0.3">
      <c r="A28" t="s">
        <v>35</v>
      </c>
      <c r="B28">
        <v>35</v>
      </c>
      <c r="C28">
        <v>209</v>
      </c>
      <c r="D28" t="s">
        <v>6</v>
      </c>
      <c r="E28">
        <v>85</v>
      </c>
      <c r="F28" s="1">
        <f>10^5*vhodni_podatki[[#This Row],[Teža (t oz)]]/vhodni_podatki[[#This Row],[Višina (bc)]]^3</f>
        <v>487.46355685131198</v>
      </c>
    </row>
    <row r="29" spans="1:6" x14ac:dyDescent="0.3">
      <c r="A29" t="s">
        <v>36</v>
      </c>
      <c r="B29">
        <v>118</v>
      </c>
      <c r="C29">
        <v>932</v>
      </c>
      <c r="D29" t="s">
        <v>8</v>
      </c>
      <c r="E29">
        <v>123</v>
      </c>
      <c r="F29" s="1">
        <f>10^5*vhodni_podatki[[#This Row],[Teža (t oz)]]/vhodni_podatki[[#This Row],[Višina (bc)]]^3</f>
        <v>56.724397333709874</v>
      </c>
    </row>
    <row r="30" spans="1:6" x14ac:dyDescent="0.3">
      <c r="A30" t="s">
        <v>37</v>
      </c>
      <c r="B30">
        <v>94</v>
      </c>
      <c r="C30">
        <v>788</v>
      </c>
      <c r="D30" t="s">
        <v>23</v>
      </c>
      <c r="E30">
        <v>110</v>
      </c>
      <c r="F30" s="1">
        <f>10^5*vhodni_podatki[[#This Row],[Teža (t oz)]]/vhodni_podatki[[#This Row],[Višina (bc)]]^3</f>
        <v>94.873005018155894</v>
      </c>
    </row>
    <row r="31" spans="1:6" x14ac:dyDescent="0.3">
      <c r="A31" t="s">
        <v>38</v>
      </c>
      <c r="B31">
        <v>106</v>
      </c>
      <c r="C31">
        <v>804</v>
      </c>
      <c r="D31" t="s">
        <v>23</v>
      </c>
      <c r="E31">
        <v>110</v>
      </c>
      <c r="F31" s="1">
        <f>10^5*vhodni_podatki[[#This Row],[Teža (t oz)]]/vhodni_podatki[[#This Row],[Višina (bc)]]^3</f>
        <v>67.505390355797061</v>
      </c>
    </row>
    <row r="32" spans="1:6" x14ac:dyDescent="0.3">
      <c r="A32" t="s">
        <v>39</v>
      </c>
      <c r="B32">
        <v>248</v>
      </c>
      <c r="C32">
        <v>14789</v>
      </c>
      <c r="D32" t="s">
        <v>8</v>
      </c>
      <c r="E32">
        <v>123</v>
      </c>
      <c r="F32" s="1">
        <f>10^5*vhodni_podatki[[#This Row],[Teža (t oz)]]/vhodni_podatki[[#This Row],[Višina (bc)]]^3</f>
        <v>96.958026333456417</v>
      </c>
    </row>
    <row r="33" spans="1:6" x14ac:dyDescent="0.3">
      <c r="A33" t="s">
        <v>40</v>
      </c>
      <c r="B33">
        <v>260</v>
      </c>
      <c r="C33">
        <v>6752</v>
      </c>
      <c r="D33" t="s">
        <v>6</v>
      </c>
      <c r="E33">
        <v>85</v>
      </c>
      <c r="F33" s="1">
        <f>10^5*vhodni_podatki[[#This Row],[Teža (t oz)]]/vhodni_podatki[[#This Row],[Višina (bc)]]^3</f>
        <v>38.416021847974513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DACE-2405-4567-959E-E86A274324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17D154-470E-4380-AD6C-B645E0E7BC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List3</vt:lpstr>
      <vt:lpstr>List2</vt:lpstr>
      <vt:lpstr>List1</vt:lpstr>
    </vt:vector>
  </TitlesOfParts>
  <Company>Gimnazija Celje -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Uporabnik sistema Windows</dc:creator>
  <cp:lastModifiedBy>Uporabnik sistema Windows</cp:lastModifiedBy>
  <dcterms:created xsi:type="dcterms:W3CDTF">2025-12-26T21:05:46Z</dcterms:created>
  <dcterms:modified xsi:type="dcterms:W3CDTF">2025-12-26T21:39:55Z</dcterms:modified>
</cp:coreProperties>
</file>